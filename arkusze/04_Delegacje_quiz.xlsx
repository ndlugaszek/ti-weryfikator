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omczak\Desktop\KURSY LIC ONLINE 2 SEMESTR\TECHNOLOGIE INFORMACYJNE Lidia Seroczyńska\Materiały do czytania i quizy cząstkowe\moduł 4\"/>
    </mc:Choice>
  </mc:AlternateContent>
  <xr:revisionPtr revIDLastSave="0" documentId="8_{1AA9A95B-A0F5-4225-BDAA-908A3E31C761}" xr6:coauthVersionLast="36" xr6:coauthVersionMax="36" xr10:uidLastSave="{00000000-0000-0000-0000-000000000000}"/>
  <bookViews>
    <workbookView xWindow="0" yWindow="0" windowWidth="11100" windowHeight="8004" xr2:uid="{00000000-000D-0000-FFFF-FFFF00000000}"/>
  </bookViews>
  <sheets>
    <sheet name="Dane 1" sheetId="7" r:id="rId1"/>
    <sheet name="Dane 2" sheetId="1" r:id="rId2"/>
    <sheet name="A1" sheetId="2" state="hidden" r:id="rId3"/>
  </sheets>
  <definedNames>
    <definedName name="_xlnm._FilterDatabase" localSheetId="1" hidden="1">'Dane 2'!$A$1:$O$1</definedName>
    <definedName name="Podróżni">'Dane 2'!$A$1:$E$82</definedName>
  </definedNames>
  <calcPr calcId="191029"/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G4" i="1" s="1"/>
  <c r="F5" i="1"/>
  <c r="F6" i="1"/>
  <c r="G6" i="1" s="1"/>
  <c r="F7" i="1"/>
  <c r="G7" i="1" s="1"/>
  <c r="F8" i="1"/>
  <c r="G8" i="1" s="1"/>
  <c r="F9" i="1"/>
  <c r="F10" i="1"/>
  <c r="G10" i="1" s="1"/>
  <c r="F11" i="1"/>
  <c r="G11" i="1" s="1"/>
  <c r="F12" i="1"/>
  <c r="G12" i="1" s="1"/>
  <c r="F13" i="1"/>
  <c r="F14" i="1"/>
  <c r="G14" i="1" s="1"/>
  <c r="F15" i="1"/>
  <c r="G15" i="1" s="1"/>
  <c r="F16" i="1"/>
  <c r="F17" i="1"/>
  <c r="F18" i="1"/>
  <c r="G18" i="1" s="1"/>
  <c r="F19" i="1"/>
  <c r="G19" i="1" s="1"/>
  <c r="F20" i="1"/>
  <c r="G20" i="1" s="1"/>
  <c r="F21" i="1"/>
  <c r="F22" i="1"/>
  <c r="G22" i="1" s="1"/>
  <c r="F23" i="1"/>
  <c r="F24" i="1"/>
  <c r="G24" i="1" s="1"/>
  <c r="F25" i="1"/>
  <c r="F26" i="1"/>
  <c r="G26" i="1" s="1"/>
  <c r="F27" i="1"/>
  <c r="G27" i="1" s="1"/>
  <c r="F28" i="1"/>
  <c r="G28" i="1" s="1"/>
  <c r="F29" i="1"/>
  <c r="F30" i="1"/>
  <c r="G30" i="1" s="1"/>
  <c r="F31" i="1"/>
  <c r="F32" i="1"/>
  <c r="F33" i="1"/>
  <c r="F34" i="1"/>
  <c r="G34" i="1" s="1"/>
  <c r="F35" i="1"/>
  <c r="G35" i="1" s="1"/>
  <c r="F36" i="1"/>
  <c r="G36" i="1" s="1"/>
  <c r="F37" i="1"/>
  <c r="F38" i="1"/>
  <c r="F39" i="1"/>
  <c r="G39" i="1" s="1"/>
  <c r="F40" i="1"/>
  <c r="G40" i="1" s="1"/>
  <c r="F41" i="1"/>
  <c r="F42" i="1"/>
  <c r="G42" i="1" s="1"/>
  <c r="F43" i="1"/>
  <c r="G43" i="1" s="1"/>
  <c r="F44" i="1"/>
  <c r="G44" i="1" s="1"/>
  <c r="F45" i="1"/>
  <c r="F46" i="1"/>
  <c r="G46" i="1" s="1"/>
  <c r="F47" i="1"/>
  <c r="G47" i="1" s="1"/>
  <c r="F48" i="1"/>
  <c r="G48" i="1" s="1"/>
  <c r="F49" i="1"/>
  <c r="F50" i="1"/>
  <c r="G50" i="1" s="1"/>
  <c r="F51" i="1"/>
  <c r="G51" i="1" s="1"/>
  <c r="F52" i="1"/>
  <c r="F53" i="1"/>
  <c r="F54" i="1"/>
  <c r="F55" i="1"/>
  <c r="G55" i="1" s="1"/>
  <c r="F56" i="1"/>
  <c r="G56" i="1" s="1"/>
  <c r="F57" i="1"/>
  <c r="F58" i="1"/>
  <c r="G58" i="1" s="1"/>
  <c r="F59" i="1"/>
  <c r="G59" i="1" s="1"/>
  <c r="F60" i="1"/>
  <c r="G60" i="1" s="1"/>
  <c r="F61" i="1"/>
  <c r="F62" i="1"/>
  <c r="G62" i="1" s="1"/>
  <c r="F63" i="1"/>
  <c r="G63" i="1" s="1"/>
  <c r="F64" i="1"/>
  <c r="G64" i="1" s="1"/>
  <c r="F65" i="1"/>
  <c r="F66" i="1"/>
  <c r="G66" i="1" s="1"/>
  <c r="F67" i="1"/>
  <c r="G67" i="1" s="1"/>
  <c r="F68" i="1"/>
  <c r="F69" i="1"/>
  <c r="F70" i="1"/>
  <c r="F71" i="1"/>
  <c r="G71" i="1" s="1"/>
  <c r="F72" i="1"/>
  <c r="G72" i="1" s="1"/>
  <c r="F73" i="1"/>
  <c r="F74" i="1"/>
  <c r="G74" i="1" s="1"/>
  <c r="F75" i="1"/>
  <c r="F76" i="1"/>
  <c r="F77" i="1"/>
  <c r="F78" i="1"/>
  <c r="F79" i="1"/>
  <c r="G79" i="1" s="1"/>
  <c r="F80" i="1"/>
  <c r="F81" i="1"/>
  <c r="F82" i="1"/>
  <c r="G82" i="1" s="1"/>
  <c r="F83" i="1"/>
  <c r="G83" i="1" s="1"/>
  <c r="F84" i="1"/>
  <c r="G84" i="1" s="1"/>
  <c r="F85" i="1"/>
  <c r="F86" i="1"/>
  <c r="F87" i="1"/>
  <c r="G87" i="1" s="1"/>
  <c r="F88" i="1"/>
  <c r="G88" i="1" s="1"/>
  <c r="F89" i="1"/>
  <c r="F90" i="1"/>
  <c r="G90" i="1" s="1"/>
  <c r="F91" i="1"/>
  <c r="G91" i="1" s="1"/>
  <c r="F92" i="1"/>
  <c r="F93" i="1"/>
  <c r="F94" i="1"/>
  <c r="G94" i="1" s="1"/>
  <c r="F95" i="1"/>
  <c r="G95" i="1" s="1"/>
  <c r="F96" i="1"/>
  <c r="F97" i="1"/>
  <c r="F98" i="1"/>
  <c r="G98" i="1" s="1"/>
  <c r="F99" i="1"/>
  <c r="G99" i="1" s="1"/>
  <c r="F100" i="1"/>
  <c r="G100" i="1" s="1"/>
  <c r="F101" i="1"/>
  <c r="F102" i="1"/>
  <c r="G102" i="1" s="1"/>
  <c r="F103" i="1"/>
  <c r="G103" i="1" s="1"/>
  <c r="F104" i="1"/>
  <c r="G104" i="1" s="1"/>
  <c r="F105" i="1"/>
  <c r="F106" i="1"/>
  <c r="G106" i="1" s="1"/>
  <c r="F107" i="1"/>
  <c r="F108" i="1"/>
  <c r="F109" i="1"/>
  <c r="F110" i="1"/>
  <c r="F111" i="1"/>
  <c r="G111" i="1" s="1"/>
  <c r="F112" i="1"/>
  <c r="G112" i="1" s="1"/>
  <c r="F113" i="1"/>
  <c r="F114" i="1"/>
  <c r="G114" i="1" s="1"/>
  <c r="F115" i="1"/>
  <c r="G115" i="1" s="1"/>
  <c r="F116" i="1"/>
  <c r="G116" i="1" s="1"/>
  <c r="F117" i="1"/>
  <c r="F118" i="1"/>
  <c r="G118" i="1" s="1"/>
  <c r="F119" i="1"/>
  <c r="G119" i="1" s="1"/>
  <c r="F120" i="1"/>
  <c r="G120" i="1" s="1"/>
  <c r="F121" i="1"/>
  <c r="F122" i="1"/>
  <c r="G122" i="1" s="1"/>
  <c r="F123" i="1"/>
  <c r="F124" i="1"/>
  <c r="F125" i="1"/>
  <c r="F126" i="1"/>
  <c r="F127" i="1"/>
  <c r="G127" i="1" s="1"/>
  <c r="F128" i="1"/>
  <c r="G128" i="1" s="1"/>
  <c r="F129" i="1"/>
  <c r="F130" i="1"/>
  <c r="G130" i="1" s="1"/>
  <c r="F131" i="1"/>
  <c r="G131" i="1" s="1"/>
  <c r="F132" i="1"/>
  <c r="G132" i="1" s="1"/>
  <c r="G5" i="1"/>
  <c r="G9" i="1"/>
  <c r="G13" i="1"/>
  <c r="G16" i="1"/>
  <c r="G17" i="1"/>
  <c r="G21" i="1"/>
  <c r="G23" i="1"/>
  <c r="G25" i="1"/>
  <c r="G29" i="1"/>
  <c r="G31" i="1"/>
  <c r="G32" i="1"/>
  <c r="G33" i="1"/>
  <c r="G37" i="1"/>
  <c r="G38" i="1"/>
  <c r="G41" i="1"/>
  <c r="G45" i="1"/>
  <c r="G49" i="1"/>
  <c r="G52" i="1"/>
  <c r="G53" i="1"/>
  <c r="G54" i="1"/>
  <c r="G57" i="1"/>
  <c r="G61" i="1"/>
  <c r="G65" i="1"/>
  <c r="G68" i="1"/>
  <c r="G69" i="1"/>
  <c r="G70" i="1"/>
  <c r="G73" i="1"/>
  <c r="G75" i="1"/>
  <c r="G76" i="1"/>
  <c r="G77" i="1"/>
  <c r="G78" i="1"/>
  <c r="G80" i="1"/>
  <c r="G81" i="1"/>
  <c r="G85" i="1"/>
  <c r="G86" i="1"/>
  <c r="G89" i="1"/>
  <c r="G92" i="1"/>
  <c r="G93" i="1"/>
  <c r="G96" i="1"/>
  <c r="G97" i="1"/>
  <c r="G101" i="1"/>
  <c r="G105" i="1"/>
  <c r="G107" i="1"/>
  <c r="G108" i="1"/>
  <c r="G109" i="1"/>
  <c r="G110" i="1"/>
  <c r="G113" i="1"/>
  <c r="G117" i="1"/>
  <c r="G121" i="1"/>
  <c r="G123" i="1"/>
  <c r="G124" i="1"/>
  <c r="G125" i="1"/>
  <c r="G126" i="1"/>
  <c r="G129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2" i="1"/>
</calcChain>
</file>

<file path=xl/sharedStrings.xml><?xml version="1.0" encoding="utf-8"?>
<sst xmlns="http://schemas.openxmlformats.org/spreadsheetml/2006/main" count="682" uniqueCount="200">
  <si>
    <t>Imię</t>
  </si>
  <si>
    <t>Nazwisko</t>
  </si>
  <si>
    <t>Płeć</t>
  </si>
  <si>
    <t>Wiek</t>
  </si>
  <si>
    <t>Barbara</t>
  </si>
  <si>
    <t>Fornal</t>
  </si>
  <si>
    <t>K</t>
  </si>
  <si>
    <t>Rafał</t>
  </si>
  <si>
    <t>Fraczyński</t>
  </si>
  <si>
    <t>M</t>
  </si>
  <si>
    <t>Jadwiga</t>
  </si>
  <si>
    <t>Fulecka</t>
  </si>
  <si>
    <t>Gilecka</t>
  </si>
  <si>
    <t>Grater</t>
  </si>
  <si>
    <t>Zbigniew</t>
  </si>
  <si>
    <t>Grawik</t>
  </si>
  <si>
    <t>Pelagia</t>
  </si>
  <si>
    <t>Greczyn</t>
  </si>
  <si>
    <t>Griczan</t>
  </si>
  <si>
    <t>Gruda</t>
  </si>
  <si>
    <t>Hrubek</t>
  </si>
  <si>
    <t>Wiktor</t>
  </si>
  <si>
    <t>Hryczyński</t>
  </si>
  <si>
    <t>Andrzej</t>
  </si>
  <si>
    <t>Jadziak</t>
  </si>
  <si>
    <t>Jagiel</t>
  </si>
  <si>
    <t>Stefan</t>
  </si>
  <si>
    <t>Janicki</t>
  </si>
  <si>
    <t>Robert</t>
  </si>
  <si>
    <t>Jawlik</t>
  </si>
  <si>
    <t>Jelikowska</t>
  </si>
  <si>
    <t>Jobda</t>
  </si>
  <si>
    <t>Jolecka</t>
  </si>
  <si>
    <t>Karolik</t>
  </si>
  <si>
    <t>Kąkol</t>
  </si>
  <si>
    <t>Kiszewska</t>
  </si>
  <si>
    <t>Kobek</t>
  </si>
  <si>
    <t>Tadeusz</t>
  </si>
  <si>
    <t>Komasa</t>
  </si>
  <si>
    <t>Michał</t>
  </si>
  <si>
    <t>Komor</t>
  </si>
  <si>
    <t>Komorak</t>
  </si>
  <si>
    <t>Komorna</t>
  </si>
  <si>
    <t>Komornicki</t>
  </si>
  <si>
    <t>Komorników</t>
  </si>
  <si>
    <t>Komos</t>
  </si>
  <si>
    <t>Kowalski</t>
  </si>
  <si>
    <t>Krupicki</t>
  </si>
  <si>
    <t>Janusz</t>
  </si>
  <si>
    <t>Kurant</t>
  </si>
  <si>
    <t>Kureka</t>
  </si>
  <si>
    <t>Labuda</t>
  </si>
  <si>
    <t>Liczaba</t>
  </si>
  <si>
    <t>Liczak</t>
  </si>
  <si>
    <t>Likary</t>
  </si>
  <si>
    <t>Mateusz</t>
  </si>
  <si>
    <t>Likian</t>
  </si>
  <si>
    <t>Marek</t>
  </si>
  <si>
    <t>Linda</t>
  </si>
  <si>
    <t>Lindak</t>
  </si>
  <si>
    <t>Franciszek</t>
  </si>
  <si>
    <t>Lindarek</t>
  </si>
  <si>
    <t>Lipecki</t>
  </si>
  <si>
    <t>Ewa</t>
  </si>
  <si>
    <t>Masztaler</t>
  </si>
  <si>
    <t>Mączyńska</t>
  </si>
  <si>
    <t>Mąkol</t>
  </si>
  <si>
    <t>Milecka</t>
  </si>
  <si>
    <t>Moczydło</t>
  </si>
  <si>
    <t>Niemota</t>
  </si>
  <si>
    <t>Palancik</t>
  </si>
  <si>
    <t>Paweł</t>
  </si>
  <si>
    <t>Palek</t>
  </si>
  <si>
    <t>Krystyna</t>
  </si>
  <si>
    <t>Pilecki</t>
  </si>
  <si>
    <t>Policka</t>
  </si>
  <si>
    <t>Krzysztof</t>
  </si>
  <si>
    <t>Policki</t>
  </si>
  <si>
    <t>Elwira</t>
  </si>
  <si>
    <t>Policzawska</t>
  </si>
  <si>
    <t>Policzewski</t>
  </si>
  <si>
    <t>Polkowiak</t>
  </si>
  <si>
    <t>Prószak</t>
  </si>
  <si>
    <t>Robek</t>
  </si>
  <si>
    <t>Rudak</t>
  </si>
  <si>
    <t>Sadurski</t>
  </si>
  <si>
    <t>Sawek</t>
  </si>
  <si>
    <t>Sulik</t>
  </si>
  <si>
    <t>Sulikowski</t>
  </si>
  <si>
    <t>Surma</t>
  </si>
  <si>
    <t>Surmak</t>
  </si>
  <si>
    <t>Suwald</t>
  </si>
  <si>
    <t>Szerka</t>
  </si>
  <si>
    <t>Tomora</t>
  </si>
  <si>
    <t>Trewirek</t>
  </si>
  <si>
    <t>Twardzioch</t>
  </si>
  <si>
    <t>Twarnowski</t>
  </si>
  <si>
    <t>Twomicki</t>
  </si>
  <si>
    <t>Wertyk</t>
  </si>
  <si>
    <t>Wobek</t>
  </si>
  <si>
    <t>Warszawa</t>
  </si>
  <si>
    <t>Poznań</t>
  </si>
  <si>
    <t>Kraków</t>
  </si>
  <si>
    <t>Anna</t>
  </si>
  <si>
    <t>Piotr</t>
  </si>
  <si>
    <t>Adamski</t>
  </si>
  <si>
    <t>Piechocka</t>
  </si>
  <si>
    <t>Kacprzak</t>
  </si>
  <si>
    <t>Józef</t>
  </si>
  <si>
    <t>Kołakowski</t>
  </si>
  <si>
    <t>Zofia</t>
  </si>
  <si>
    <t>Olechowska</t>
  </si>
  <si>
    <t>Ostny</t>
  </si>
  <si>
    <t>Agnieszka</t>
  </si>
  <si>
    <t>Pietrzak</t>
  </si>
  <si>
    <t>Tomasz</t>
  </si>
  <si>
    <t>Wilczak</t>
  </si>
  <si>
    <t>Adrianna</t>
  </si>
  <si>
    <t>Mikołajewska</t>
  </si>
  <si>
    <t>Lidia</t>
  </si>
  <si>
    <t>Polakowska</t>
  </si>
  <si>
    <t>Maciej</t>
  </si>
  <si>
    <t>Błażejczyk</t>
  </si>
  <si>
    <t>Adam</t>
  </si>
  <si>
    <t>Czyżuk</t>
  </si>
  <si>
    <t>Zuzanna</t>
  </si>
  <si>
    <t>Grodzka</t>
  </si>
  <si>
    <t>Gruszecka</t>
  </si>
  <si>
    <t>Kinga</t>
  </si>
  <si>
    <t>Jabłońska</t>
  </si>
  <si>
    <t>Katarzyna</t>
  </si>
  <si>
    <t>Kasprzak</t>
  </si>
  <si>
    <t>Kolen</t>
  </si>
  <si>
    <t>Mirosława</t>
  </si>
  <si>
    <t>Konwerska</t>
  </si>
  <si>
    <t>Ewelina</t>
  </si>
  <si>
    <t>Kowalska</t>
  </si>
  <si>
    <t>Jakub</t>
  </si>
  <si>
    <t>Marcin</t>
  </si>
  <si>
    <t>Kozioł</t>
  </si>
  <si>
    <t>Krzemińska</t>
  </si>
  <si>
    <t>Jarosław</t>
  </si>
  <si>
    <t>Kujawa</t>
  </si>
  <si>
    <t>Kukiel</t>
  </si>
  <si>
    <t xml:space="preserve">Mirosław </t>
  </si>
  <si>
    <t>Lisiecki</t>
  </si>
  <si>
    <t>Mikołajczuk</t>
  </si>
  <si>
    <t>Olga</t>
  </si>
  <si>
    <t>Mikołajczyk</t>
  </si>
  <si>
    <t>Mosina</t>
  </si>
  <si>
    <t>Jerzy</t>
  </si>
  <si>
    <t>Myszkowski</t>
  </si>
  <si>
    <t>Okoński</t>
  </si>
  <si>
    <t>Ostroga</t>
  </si>
  <si>
    <t>Piotrowicz</t>
  </si>
  <si>
    <t xml:space="preserve">Jan </t>
  </si>
  <si>
    <t>Piórkowski</t>
  </si>
  <si>
    <t>Precel</t>
  </si>
  <si>
    <t>Szczygieł</t>
  </si>
  <si>
    <t>Wiesław</t>
  </si>
  <si>
    <t>Sztaba</t>
  </si>
  <si>
    <t>Sztycer</t>
  </si>
  <si>
    <t>Szumińska</t>
  </si>
  <si>
    <t>Szymal</t>
  </si>
  <si>
    <t>Śliwiński</t>
  </si>
  <si>
    <t>Więcławski</t>
  </si>
  <si>
    <t>Wysocka</t>
  </si>
  <si>
    <t>Zarębska</t>
  </si>
  <si>
    <t>Małgorzata</t>
  </si>
  <si>
    <t>Zawodna</t>
  </si>
  <si>
    <t>Zawora</t>
  </si>
  <si>
    <t>Hakiel</t>
  </si>
  <si>
    <t>Zieliński</t>
  </si>
  <si>
    <t>Białkowski</t>
  </si>
  <si>
    <t>Burtan</t>
  </si>
  <si>
    <t>Kamiński</t>
  </si>
  <si>
    <t>Koralewska</t>
  </si>
  <si>
    <t>Kulik</t>
  </si>
  <si>
    <t>Nowak</t>
  </si>
  <si>
    <t>Sitek</t>
  </si>
  <si>
    <t>Tomczak</t>
  </si>
  <si>
    <t>Data wylotu</t>
  </si>
  <si>
    <t>Data przylotu</t>
  </si>
  <si>
    <t>Liczba dni</t>
  </si>
  <si>
    <t>Chorwacja</t>
  </si>
  <si>
    <t>Włochy</t>
  </si>
  <si>
    <t>Grecja</t>
  </si>
  <si>
    <t>Hiszpania</t>
  </si>
  <si>
    <t>Turcja</t>
  </si>
  <si>
    <t>Dodatkowe ubezp.</t>
  </si>
  <si>
    <t>Nadbagaż [szt]</t>
  </si>
  <si>
    <t>Dopłata za nadbagaż</t>
  </si>
  <si>
    <t>Kosz całkowity</t>
  </si>
  <si>
    <t>Dieta</t>
  </si>
  <si>
    <t>Koszt [bilety+noclegi]</t>
  </si>
  <si>
    <t>Oddelegowanie</t>
  </si>
  <si>
    <t>Oddział firmy</t>
  </si>
  <si>
    <t>Austria</t>
  </si>
  <si>
    <t>Biety + noclegi</t>
  </si>
  <si>
    <t>Ubezpieczenie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</si>
</sst>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5]d\ mmm;@"/>
    <numFmt numFmtId="165" formatCode="#,##0.00\ &quot;zł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" fillId="0" borderId="0" xfId="0" applyFont="1"/>
    <xf numFmtId="165" fontId="1" fillId="0" borderId="0" xfId="0" applyNumberFormat="1" applyFont="1"/>
    <xf numFmtId="0" fontId="1" fillId="0" borderId="0" xfId="0" applyNumberFormat="1" applyFont="1"/>
    <xf numFmtId="164" fontId="1" fillId="0" borderId="0" xfId="0" applyNumberFormat="1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7EE9-0D8A-49D1-92DF-70F1745B2C5F}">
  <dimension ref="A1:E7"/>
  <sheetViews>
    <sheetView tabSelected="1" workbookViewId="0">
      <selection activeCell="E19" sqref="E19"/>
    </sheetView>
  </sheetViews>
  <sheetFormatPr defaultRowHeight="14.4" x14ac:dyDescent="0.3"/>
  <cols>
    <col min="1" max="1" width="15.33203125" bestFit="1" customWidth="1"/>
    <col min="2" max="2" width="9.88671875" bestFit="1" customWidth="1"/>
    <col min="3" max="3" width="14" bestFit="1" customWidth="1"/>
    <col min="4" max="4" width="14.33203125" bestFit="1" customWidth="1"/>
    <col min="5" max="5" width="19.109375" bestFit="1" customWidth="1"/>
  </cols>
  <sheetData>
    <row r="1" spans="1:5" x14ac:dyDescent="0.3">
      <c r="A1" s="4" t="s">
        <v>195</v>
      </c>
      <c r="B1" s="4" t="s">
        <v>193</v>
      </c>
      <c r="C1" s="5" t="s">
        <v>198</v>
      </c>
      <c r="D1" s="5" t="s">
        <v>199</v>
      </c>
      <c r="E1" s="5" t="s">
        <v>191</v>
      </c>
    </row>
    <row r="2" spans="1:5" x14ac:dyDescent="0.3">
      <c r="A2" t="s">
        <v>184</v>
      </c>
      <c r="B2" s="2">
        <v>2800</v>
      </c>
      <c r="C2" s="2">
        <v>4490</v>
      </c>
      <c r="D2" s="2">
        <v>65.25</v>
      </c>
      <c r="E2" s="2">
        <v>325</v>
      </c>
    </row>
    <row r="3" spans="1:5" x14ac:dyDescent="0.3">
      <c r="A3" t="s">
        <v>187</v>
      </c>
      <c r="B3" s="2">
        <v>2800</v>
      </c>
      <c r="C3" s="2">
        <v>7918</v>
      </c>
      <c r="D3" s="2">
        <v>65.25</v>
      </c>
      <c r="E3" s="2">
        <v>325</v>
      </c>
    </row>
    <row r="4" spans="1:5" x14ac:dyDescent="0.3">
      <c r="A4" t="s">
        <v>185</v>
      </c>
      <c r="B4" s="2">
        <v>4200</v>
      </c>
      <c r="C4" s="2">
        <v>8697</v>
      </c>
      <c r="D4" s="2">
        <v>91.25</v>
      </c>
      <c r="E4" s="2">
        <v>325</v>
      </c>
    </row>
    <row r="5" spans="1:5" x14ac:dyDescent="0.3">
      <c r="A5" t="s">
        <v>188</v>
      </c>
      <c r="B5" s="2">
        <v>4200</v>
      </c>
      <c r="C5" s="2">
        <v>7470</v>
      </c>
      <c r="D5" s="2">
        <v>91.25</v>
      </c>
      <c r="E5" s="2">
        <v>650</v>
      </c>
    </row>
    <row r="6" spans="1:5" x14ac:dyDescent="0.3">
      <c r="A6" t="s">
        <v>186</v>
      </c>
      <c r="B6" s="2">
        <v>4200</v>
      </c>
      <c r="C6" s="2">
        <v>8079</v>
      </c>
      <c r="D6" s="2">
        <v>91.25</v>
      </c>
      <c r="E6" s="2">
        <v>325</v>
      </c>
    </row>
    <row r="7" spans="1:5" x14ac:dyDescent="0.3">
      <c r="A7" t="s">
        <v>197</v>
      </c>
      <c r="B7" s="2">
        <v>3600</v>
      </c>
      <c r="C7" s="2">
        <v>6500</v>
      </c>
      <c r="D7" s="2">
        <v>34.799999999999997</v>
      </c>
      <c r="E7" s="2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"/>
  <sheetViews>
    <sheetView workbookViewId="0">
      <selection activeCell="F34" sqref="F34"/>
    </sheetView>
  </sheetViews>
  <sheetFormatPr defaultColWidth="9.33203125" defaultRowHeight="14.4" x14ac:dyDescent="0.3"/>
  <cols>
    <col min="1" max="1" width="10.6640625" bestFit="1" customWidth="1"/>
    <col min="2" max="2" width="13.33203125" bestFit="1" customWidth="1"/>
    <col min="3" max="3" width="15.109375" customWidth="1"/>
    <col min="4" max="4" width="7" bestFit="1" customWidth="1"/>
    <col min="5" max="5" width="8" bestFit="1" customWidth="1"/>
    <col min="6" max="6" width="14.109375" style="1" customWidth="1"/>
    <col min="7" max="7" width="15" style="1" bestFit="1" customWidth="1"/>
    <col min="8" max="8" width="11.88671875" bestFit="1" customWidth="1"/>
    <col min="9" max="9" width="17.5546875" bestFit="1" customWidth="1"/>
    <col min="10" max="10" width="22.6640625" style="2" bestFit="1" customWidth="1"/>
    <col min="11" max="11" width="9.88671875" bestFit="1" customWidth="1"/>
    <col min="12" max="12" width="20.109375" style="2" bestFit="1" customWidth="1"/>
    <col min="13" max="13" width="16.33203125" style="3" bestFit="1" customWidth="1"/>
    <col min="14" max="14" width="21.44140625" style="2" bestFit="1" customWidth="1"/>
    <col min="15" max="15" width="16.33203125" style="2" bestFit="1" customWidth="1"/>
  </cols>
  <sheetData>
    <row r="1" spans="1:15" x14ac:dyDescent="0.3">
      <c r="A1" s="4" t="s">
        <v>0</v>
      </c>
      <c r="B1" s="4" t="s">
        <v>1</v>
      </c>
      <c r="C1" s="4" t="s">
        <v>196</v>
      </c>
      <c r="D1" s="4" t="s">
        <v>2</v>
      </c>
      <c r="E1" s="4" t="s">
        <v>3</v>
      </c>
      <c r="F1" s="7" t="s">
        <v>181</v>
      </c>
      <c r="G1" s="7" t="s">
        <v>182</v>
      </c>
      <c r="H1" s="4" t="s">
        <v>183</v>
      </c>
      <c r="I1" s="4" t="s">
        <v>195</v>
      </c>
      <c r="J1" s="5" t="s">
        <v>194</v>
      </c>
      <c r="K1" s="4" t="s">
        <v>193</v>
      </c>
      <c r="L1" s="5" t="s">
        <v>189</v>
      </c>
      <c r="M1" s="6" t="s">
        <v>190</v>
      </c>
      <c r="N1" s="5" t="s">
        <v>191</v>
      </c>
      <c r="O1" s="5" t="s">
        <v>192</v>
      </c>
    </row>
    <row r="2" spans="1:15" x14ac:dyDescent="0.3">
      <c r="A2" t="s">
        <v>123</v>
      </c>
      <c r="B2" t="s">
        <v>154</v>
      </c>
      <c r="C2" t="s">
        <v>100</v>
      </c>
      <c r="D2" t="s">
        <v>9</v>
      </c>
      <c r="E2">
        <v>55</v>
      </c>
      <c r="F2" s="1">
        <f>'A1'!XFC2</f>
        <v>44119</v>
      </c>
      <c r="G2" s="1">
        <f t="shared" ref="G2:G33" si="0">F2+H2</f>
        <v>44133</v>
      </c>
      <c r="H2">
        <v>14</v>
      </c>
      <c r="I2" t="s">
        <v>184</v>
      </c>
      <c r="J2" s="2">
        <v>4490</v>
      </c>
      <c r="K2" s="2">
        <v>2800</v>
      </c>
      <c r="L2" s="2">
        <v>65.25</v>
      </c>
      <c r="M2" s="3">
        <v>1</v>
      </c>
      <c r="N2" s="2">
        <v>325</v>
      </c>
      <c r="O2" s="2">
        <f t="shared" ref="O2:O33" si="1">J2+K2+L2+N2</f>
        <v>7680.25</v>
      </c>
    </row>
    <row r="3" spans="1:15" x14ac:dyDescent="0.3">
      <c r="A3" t="s">
        <v>123</v>
      </c>
      <c r="B3" t="s">
        <v>124</v>
      </c>
      <c r="C3" t="s">
        <v>100</v>
      </c>
      <c r="D3" t="s">
        <v>9</v>
      </c>
      <c r="E3">
        <v>24</v>
      </c>
      <c r="F3" s="1">
        <f>'A1'!XFC3</f>
        <v>44149</v>
      </c>
      <c r="G3" s="1">
        <f t="shared" si="0"/>
        <v>44163</v>
      </c>
      <c r="H3">
        <v>14</v>
      </c>
      <c r="I3" t="s">
        <v>187</v>
      </c>
      <c r="J3" s="2">
        <v>7918</v>
      </c>
      <c r="K3" s="2">
        <v>2800</v>
      </c>
      <c r="L3" s="2">
        <v>65.25</v>
      </c>
      <c r="N3" s="2">
        <v>0</v>
      </c>
      <c r="O3" s="2">
        <f t="shared" si="1"/>
        <v>10783.25</v>
      </c>
    </row>
    <row r="4" spans="1:15" x14ac:dyDescent="0.3">
      <c r="A4" t="s">
        <v>117</v>
      </c>
      <c r="B4" t="s">
        <v>177</v>
      </c>
      <c r="C4" t="s">
        <v>101</v>
      </c>
      <c r="D4" t="s">
        <v>6</v>
      </c>
      <c r="E4">
        <v>44</v>
      </c>
      <c r="F4" s="1">
        <f>'A1'!XFC4</f>
        <v>44147</v>
      </c>
      <c r="G4" s="1">
        <f t="shared" si="0"/>
        <v>44157</v>
      </c>
      <c r="H4">
        <v>10</v>
      </c>
      <c r="I4" t="s">
        <v>187</v>
      </c>
      <c r="J4" s="2">
        <v>6084</v>
      </c>
      <c r="K4" s="2">
        <v>2000</v>
      </c>
      <c r="L4" s="2">
        <v>65.25</v>
      </c>
      <c r="N4" s="2">
        <v>0</v>
      </c>
      <c r="O4" s="2">
        <f t="shared" si="1"/>
        <v>8149.25</v>
      </c>
    </row>
    <row r="5" spans="1:15" x14ac:dyDescent="0.3">
      <c r="A5" t="s">
        <v>117</v>
      </c>
      <c r="B5" t="s">
        <v>118</v>
      </c>
      <c r="C5" t="s">
        <v>101</v>
      </c>
      <c r="D5" t="s">
        <v>6</v>
      </c>
      <c r="E5">
        <v>39</v>
      </c>
      <c r="F5" s="1">
        <f>'A1'!XFC5</f>
        <v>44121</v>
      </c>
      <c r="G5" s="1">
        <f t="shared" si="0"/>
        <v>44142</v>
      </c>
      <c r="H5">
        <v>21</v>
      </c>
      <c r="I5" t="s">
        <v>185</v>
      </c>
      <c r="J5" s="2">
        <v>8697</v>
      </c>
      <c r="K5" s="2">
        <v>4200</v>
      </c>
      <c r="L5" s="2">
        <v>91.25</v>
      </c>
      <c r="N5" s="2">
        <v>0</v>
      </c>
      <c r="O5" s="2">
        <f t="shared" si="1"/>
        <v>12988.25</v>
      </c>
    </row>
    <row r="6" spans="1:15" x14ac:dyDescent="0.3">
      <c r="A6" t="s">
        <v>113</v>
      </c>
      <c r="B6" t="s">
        <v>170</v>
      </c>
      <c r="C6" t="s">
        <v>102</v>
      </c>
      <c r="D6" t="s">
        <v>6</v>
      </c>
      <c r="E6">
        <v>32</v>
      </c>
      <c r="F6" s="1">
        <f>'A1'!XFC6</f>
        <v>44116</v>
      </c>
      <c r="G6" s="1">
        <f t="shared" si="0"/>
        <v>44137</v>
      </c>
      <c r="H6">
        <v>21</v>
      </c>
      <c r="I6" t="s">
        <v>188</v>
      </c>
      <c r="J6" s="2">
        <v>7470</v>
      </c>
      <c r="K6" s="2">
        <v>4200</v>
      </c>
      <c r="L6" s="2">
        <v>91.25</v>
      </c>
      <c r="M6" s="3">
        <v>2</v>
      </c>
      <c r="N6" s="2">
        <v>650</v>
      </c>
      <c r="O6" s="2">
        <f t="shared" si="1"/>
        <v>12411.25</v>
      </c>
    </row>
    <row r="7" spans="1:15" x14ac:dyDescent="0.3">
      <c r="A7" t="s">
        <v>113</v>
      </c>
      <c r="B7" t="s">
        <v>114</v>
      </c>
      <c r="C7" t="s">
        <v>102</v>
      </c>
      <c r="D7" t="s">
        <v>6</v>
      </c>
      <c r="E7">
        <v>47</v>
      </c>
      <c r="F7" s="1">
        <f>'A1'!XFC7</f>
        <v>44172</v>
      </c>
      <c r="G7" s="1">
        <f t="shared" si="0"/>
        <v>44193</v>
      </c>
      <c r="H7">
        <v>21</v>
      </c>
      <c r="I7" t="s">
        <v>186</v>
      </c>
      <c r="J7" s="2">
        <v>8079</v>
      </c>
      <c r="K7" s="2">
        <v>4200</v>
      </c>
      <c r="L7" s="2">
        <v>91.25</v>
      </c>
      <c r="M7" s="3">
        <v>1</v>
      </c>
      <c r="N7" s="2">
        <v>325</v>
      </c>
      <c r="O7" s="2">
        <f t="shared" si="1"/>
        <v>12695.25</v>
      </c>
    </row>
    <row r="8" spans="1:15" x14ac:dyDescent="0.3">
      <c r="A8" t="s">
        <v>23</v>
      </c>
      <c r="B8" t="s">
        <v>83</v>
      </c>
      <c r="C8" t="s">
        <v>102</v>
      </c>
      <c r="D8" t="s">
        <v>9</v>
      </c>
      <c r="E8">
        <v>33</v>
      </c>
      <c r="F8" s="1">
        <f>'A1'!XFC8</f>
        <v>44182</v>
      </c>
      <c r="G8" s="1">
        <f t="shared" si="0"/>
        <v>44189</v>
      </c>
      <c r="H8">
        <v>7</v>
      </c>
      <c r="I8" t="s">
        <v>188</v>
      </c>
      <c r="J8" s="2">
        <v>3490</v>
      </c>
      <c r="K8" s="2">
        <v>1400</v>
      </c>
      <c r="L8" s="2">
        <v>34.799999999999997</v>
      </c>
      <c r="M8" s="3">
        <v>1</v>
      </c>
      <c r="N8" s="2">
        <v>325</v>
      </c>
      <c r="O8" s="2">
        <f t="shared" si="1"/>
        <v>5249.8</v>
      </c>
    </row>
    <row r="9" spans="1:15" x14ac:dyDescent="0.3">
      <c r="A9" t="s">
        <v>23</v>
      </c>
      <c r="B9" t="s">
        <v>24</v>
      </c>
      <c r="C9" t="s">
        <v>100</v>
      </c>
      <c r="D9" t="s">
        <v>9</v>
      </c>
      <c r="E9">
        <v>38</v>
      </c>
      <c r="F9" s="1">
        <f>'A1'!XFC9</f>
        <v>44132</v>
      </c>
      <c r="G9" s="1">
        <f t="shared" si="0"/>
        <v>44147</v>
      </c>
      <c r="H9">
        <v>15</v>
      </c>
      <c r="I9" t="s">
        <v>187</v>
      </c>
      <c r="J9" s="2">
        <v>8376</v>
      </c>
      <c r="K9" s="2">
        <v>3000</v>
      </c>
      <c r="L9" s="2">
        <v>91.25</v>
      </c>
      <c r="M9" s="3">
        <v>1</v>
      </c>
      <c r="N9" s="2">
        <v>325</v>
      </c>
      <c r="O9" s="2">
        <f t="shared" si="1"/>
        <v>11792.25</v>
      </c>
    </row>
    <row r="10" spans="1:15" x14ac:dyDescent="0.3">
      <c r="A10" t="s">
        <v>23</v>
      </c>
      <c r="B10" t="s">
        <v>96</v>
      </c>
      <c r="C10" t="s">
        <v>102</v>
      </c>
      <c r="D10" t="s">
        <v>9</v>
      </c>
      <c r="E10">
        <v>49</v>
      </c>
      <c r="F10" s="1">
        <f>'A1'!XFC10</f>
        <v>44180</v>
      </c>
      <c r="G10" s="1">
        <f t="shared" si="0"/>
        <v>44187</v>
      </c>
      <c r="H10">
        <v>7</v>
      </c>
      <c r="I10" t="s">
        <v>185</v>
      </c>
      <c r="J10" s="2">
        <v>3899</v>
      </c>
      <c r="K10" s="2">
        <v>1400</v>
      </c>
      <c r="L10" s="2">
        <v>34.799999999999997</v>
      </c>
      <c r="N10" s="2">
        <v>0</v>
      </c>
      <c r="O10" s="2">
        <f t="shared" si="1"/>
        <v>5333.8</v>
      </c>
    </row>
    <row r="11" spans="1:15" x14ac:dyDescent="0.3">
      <c r="A11" t="s">
        <v>103</v>
      </c>
      <c r="B11" t="s">
        <v>107</v>
      </c>
      <c r="C11" t="s">
        <v>101</v>
      </c>
      <c r="D11" t="s">
        <v>6</v>
      </c>
      <c r="E11">
        <v>29</v>
      </c>
      <c r="F11" s="1">
        <f>'A1'!XFC11</f>
        <v>44181</v>
      </c>
      <c r="G11" s="1">
        <f t="shared" si="0"/>
        <v>44202</v>
      </c>
      <c r="H11">
        <v>21</v>
      </c>
      <c r="I11" t="s">
        <v>185</v>
      </c>
      <c r="J11" s="2">
        <v>8697</v>
      </c>
      <c r="K11" s="2">
        <v>4200</v>
      </c>
      <c r="L11" s="2">
        <v>91.25</v>
      </c>
      <c r="M11" s="3">
        <v>1</v>
      </c>
      <c r="N11" s="2">
        <v>325</v>
      </c>
      <c r="O11" s="2">
        <f t="shared" si="1"/>
        <v>13313.25</v>
      </c>
    </row>
    <row r="12" spans="1:15" x14ac:dyDescent="0.3">
      <c r="A12" t="s">
        <v>103</v>
      </c>
      <c r="B12" t="s">
        <v>106</v>
      </c>
      <c r="C12" t="s">
        <v>100</v>
      </c>
      <c r="D12" t="s">
        <v>6</v>
      </c>
      <c r="E12">
        <v>52</v>
      </c>
      <c r="F12" s="1">
        <f>'A1'!XFC12</f>
        <v>44187</v>
      </c>
      <c r="G12" s="1">
        <f t="shared" si="0"/>
        <v>44208</v>
      </c>
      <c r="H12">
        <v>21</v>
      </c>
      <c r="I12" t="s">
        <v>184</v>
      </c>
      <c r="J12" s="2">
        <v>5985</v>
      </c>
      <c r="K12" s="2">
        <v>4200</v>
      </c>
      <c r="L12" s="2">
        <v>91.25</v>
      </c>
      <c r="M12" s="3">
        <v>1</v>
      </c>
      <c r="N12" s="2">
        <v>325</v>
      </c>
      <c r="O12" s="2">
        <f t="shared" si="1"/>
        <v>10601.25</v>
      </c>
    </row>
    <row r="13" spans="1:15" x14ac:dyDescent="0.3">
      <c r="A13" t="s">
        <v>103</v>
      </c>
      <c r="B13" t="s">
        <v>106</v>
      </c>
      <c r="C13" t="s">
        <v>101</v>
      </c>
      <c r="D13" t="s">
        <v>6</v>
      </c>
      <c r="E13">
        <v>32</v>
      </c>
      <c r="F13" s="1">
        <f>'A1'!XFC13</f>
        <v>44180</v>
      </c>
      <c r="G13" s="1">
        <f t="shared" si="0"/>
        <v>44194</v>
      </c>
      <c r="H13">
        <v>14</v>
      </c>
      <c r="I13" t="s">
        <v>187</v>
      </c>
      <c r="J13" s="2">
        <v>7918</v>
      </c>
      <c r="K13" s="2">
        <v>2800</v>
      </c>
      <c r="L13" s="2">
        <v>65.25</v>
      </c>
      <c r="N13" s="2">
        <v>0</v>
      </c>
      <c r="O13" s="2">
        <f t="shared" si="1"/>
        <v>10783.25</v>
      </c>
    </row>
    <row r="14" spans="1:15" x14ac:dyDescent="0.3">
      <c r="A14" t="s">
        <v>4</v>
      </c>
      <c r="B14" t="s">
        <v>5</v>
      </c>
      <c r="C14" t="s">
        <v>100</v>
      </c>
      <c r="D14" t="s">
        <v>6</v>
      </c>
      <c r="E14">
        <v>55</v>
      </c>
      <c r="F14" s="1">
        <f>'A1'!XFC14</f>
        <v>44175</v>
      </c>
      <c r="G14" s="1">
        <f t="shared" si="0"/>
        <v>44189</v>
      </c>
      <c r="H14">
        <v>14</v>
      </c>
      <c r="I14" t="s">
        <v>184</v>
      </c>
      <c r="J14" s="2">
        <v>4490</v>
      </c>
      <c r="K14" s="2">
        <v>2800</v>
      </c>
      <c r="L14" s="2">
        <v>65.25</v>
      </c>
      <c r="N14" s="2">
        <v>0</v>
      </c>
      <c r="O14" s="2">
        <f t="shared" si="1"/>
        <v>7355.25</v>
      </c>
    </row>
    <row r="15" spans="1:15" x14ac:dyDescent="0.3">
      <c r="A15" t="s">
        <v>4</v>
      </c>
      <c r="B15" t="s">
        <v>30</v>
      </c>
      <c r="C15" t="s">
        <v>100</v>
      </c>
      <c r="D15" t="s">
        <v>6</v>
      </c>
      <c r="E15">
        <v>24</v>
      </c>
      <c r="F15" s="1">
        <f>'A1'!XFC15</f>
        <v>44125</v>
      </c>
      <c r="G15" s="1">
        <f t="shared" si="0"/>
        <v>44139</v>
      </c>
      <c r="H15">
        <v>14</v>
      </c>
      <c r="I15" t="s">
        <v>184</v>
      </c>
      <c r="J15" s="2">
        <v>4490</v>
      </c>
      <c r="K15" s="2">
        <v>2800</v>
      </c>
      <c r="L15" s="2">
        <v>65.25</v>
      </c>
      <c r="M15" s="3">
        <v>1</v>
      </c>
      <c r="N15" s="2">
        <v>325</v>
      </c>
      <c r="O15" s="2">
        <f t="shared" si="1"/>
        <v>7680.25</v>
      </c>
    </row>
    <row r="16" spans="1:15" x14ac:dyDescent="0.3">
      <c r="A16" t="s">
        <v>4</v>
      </c>
      <c r="B16" t="s">
        <v>18</v>
      </c>
      <c r="C16" t="s">
        <v>100</v>
      </c>
      <c r="D16" t="s">
        <v>6</v>
      </c>
      <c r="E16">
        <v>36</v>
      </c>
      <c r="F16" s="1">
        <f>'A1'!XFC16</f>
        <v>44112</v>
      </c>
      <c r="G16" s="1">
        <f t="shared" si="0"/>
        <v>44126</v>
      </c>
      <c r="H16">
        <v>14</v>
      </c>
      <c r="I16" t="s">
        <v>188</v>
      </c>
      <c r="J16" s="2">
        <v>5480</v>
      </c>
      <c r="K16" s="2">
        <v>2800</v>
      </c>
      <c r="L16" s="2">
        <v>65.25</v>
      </c>
      <c r="N16" s="2">
        <v>0</v>
      </c>
      <c r="O16" s="2">
        <f t="shared" si="1"/>
        <v>8345.25</v>
      </c>
    </row>
    <row r="17" spans="1:15" x14ac:dyDescent="0.3">
      <c r="A17" t="s">
        <v>4</v>
      </c>
      <c r="B17" t="s">
        <v>19</v>
      </c>
      <c r="C17" t="s">
        <v>101</v>
      </c>
      <c r="D17" t="s">
        <v>6</v>
      </c>
      <c r="E17">
        <v>45</v>
      </c>
      <c r="F17" s="1">
        <f>'A1'!XFC17</f>
        <v>44175</v>
      </c>
      <c r="G17" s="1">
        <f t="shared" si="0"/>
        <v>44189</v>
      </c>
      <c r="H17">
        <v>14</v>
      </c>
      <c r="I17" t="s">
        <v>187</v>
      </c>
      <c r="J17" s="2">
        <v>7918</v>
      </c>
      <c r="K17" s="2">
        <v>2800</v>
      </c>
      <c r="L17" s="2">
        <v>65.25</v>
      </c>
      <c r="N17" s="2">
        <v>0</v>
      </c>
      <c r="O17" s="2">
        <f t="shared" si="1"/>
        <v>10783.25</v>
      </c>
    </row>
    <row r="18" spans="1:15" x14ac:dyDescent="0.3">
      <c r="A18" t="s">
        <v>4</v>
      </c>
      <c r="B18" t="s">
        <v>65</v>
      </c>
      <c r="C18" t="s">
        <v>102</v>
      </c>
      <c r="D18" t="s">
        <v>6</v>
      </c>
      <c r="E18">
        <v>26</v>
      </c>
      <c r="F18" s="1">
        <f>'A1'!XFC18</f>
        <v>44130</v>
      </c>
      <c r="G18" s="1">
        <f t="shared" si="0"/>
        <v>44144</v>
      </c>
      <c r="H18">
        <v>14</v>
      </c>
      <c r="I18" t="s">
        <v>187</v>
      </c>
      <c r="J18" s="2">
        <v>7918</v>
      </c>
      <c r="K18" s="2">
        <v>2800</v>
      </c>
      <c r="L18" s="2">
        <v>65.25</v>
      </c>
      <c r="M18" s="3">
        <v>1</v>
      </c>
      <c r="N18" s="2">
        <v>325</v>
      </c>
      <c r="O18" s="2">
        <f t="shared" si="1"/>
        <v>11108.25</v>
      </c>
    </row>
    <row r="19" spans="1:15" x14ac:dyDescent="0.3">
      <c r="A19" t="s">
        <v>4</v>
      </c>
      <c r="B19" t="s">
        <v>85</v>
      </c>
      <c r="C19" t="s">
        <v>101</v>
      </c>
      <c r="D19" t="s">
        <v>6</v>
      </c>
      <c r="E19">
        <v>37</v>
      </c>
      <c r="F19" s="1">
        <f>'A1'!XFC19</f>
        <v>44117</v>
      </c>
      <c r="G19" s="1">
        <f t="shared" si="0"/>
        <v>44131</v>
      </c>
      <c r="H19">
        <v>14</v>
      </c>
      <c r="I19" t="s">
        <v>187</v>
      </c>
      <c r="J19" s="2">
        <v>7918</v>
      </c>
      <c r="K19" s="2">
        <v>2800</v>
      </c>
      <c r="L19" s="2">
        <v>65.25</v>
      </c>
      <c r="M19" s="3">
        <v>1</v>
      </c>
      <c r="N19" s="2">
        <v>325</v>
      </c>
      <c r="O19" s="2">
        <f t="shared" si="1"/>
        <v>11108.25</v>
      </c>
    </row>
    <row r="20" spans="1:15" x14ac:dyDescent="0.3">
      <c r="A20" t="s">
        <v>4</v>
      </c>
      <c r="B20" t="s">
        <v>35</v>
      </c>
      <c r="C20" t="s">
        <v>100</v>
      </c>
      <c r="D20" t="s">
        <v>6</v>
      </c>
      <c r="E20">
        <v>39</v>
      </c>
      <c r="F20" s="1">
        <f>'A1'!XFC20</f>
        <v>44173</v>
      </c>
      <c r="G20" s="1">
        <f t="shared" si="0"/>
        <v>44187</v>
      </c>
      <c r="H20">
        <v>14</v>
      </c>
      <c r="I20" t="s">
        <v>185</v>
      </c>
      <c r="J20" s="2">
        <v>6298</v>
      </c>
      <c r="K20" s="2">
        <v>2800</v>
      </c>
      <c r="L20" s="2">
        <v>65.25</v>
      </c>
      <c r="N20" s="2">
        <v>0</v>
      </c>
      <c r="O20" s="2">
        <f t="shared" si="1"/>
        <v>9163.25</v>
      </c>
    </row>
    <row r="21" spans="1:15" x14ac:dyDescent="0.3">
      <c r="A21" t="s">
        <v>4</v>
      </c>
      <c r="B21" t="s">
        <v>25</v>
      </c>
      <c r="C21" t="s">
        <v>101</v>
      </c>
      <c r="D21" t="s">
        <v>6</v>
      </c>
      <c r="E21">
        <v>54</v>
      </c>
      <c r="F21" s="1">
        <f>'A1'!XFC21</f>
        <v>44169</v>
      </c>
      <c r="G21" s="1">
        <f t="shared" si="0"/>
        <v>44183</v>
      </c>
      <c r="H21">
        <v>14</v>
      </c>
      <c r="I21" t="s">
        <v>187</v>
      </c>
      <c r="J21" s="2">
        <v>7918</v>
      </c>
      <c r="K21" s="2">
        <v>2800</v>
      </c>
      <c r="L21" s="2">
        <v>65.25</v>
      </c>
      <c r="N21" s="2">
        <v>0</v>
      </c>
      <c r="O21" s="2">
        <f t="shared" si="1"/>
        <v>10783.25</v>
      </c>
    </row>
    <row r="22" spans="1:15" x14ac:dyDescent="0.3">
      <c r="A22" t="s">
        <v>78</v>
      </c>
      <c r="B22" t="s">
        <v>79</v>
      </c>
      <c r="C22" t="s">
        <v>102</v>
      </c>
      <c r="D22" t="s">
        <v>6</v>
      </c>
      <c r="E22">
        <v>50</v>
      </c>
      <c r="F22" s="1">
        <f>'A1'!XFC22</f>
        <v>44116</v>
      </c>
      <c r="G22" s="1">
        <f t="shared" si="0"/>
        <v>44130</v>
      </c>
      <c r="H22">
        <v>14</v>
      </c>
      <c r="I22" t="s">
        <v>187</v>
      </c>
      <c r="J22" s="2">
        <v>7918</v>
      </c>
      <c r="K22" s="2">
        <v>2800</v>
      </c>
      <c r="L22" s="2">
        <v>65.25</v>
      </c>
      <c r="N22" s="2">
        <v>0</v>
      </c>
      <c r="O22" s="2">
        <f t="shared" si="1"/>
        <v>10783.25</v>
      </c>
    </row>
    <row r="23" spans="1:15" x14ac:dyDescent="0.3">
      <c r="A23" t="s">
        <v>63</v>
      </c>
      <c r="B23" t="s">
        <v>69</v>
      </c>
      <c r="C23" t="s">
        <v>101</v>
      </c>
      <c r="D23" t="s">
        <v>6</v>
      </c>
      <c r="E23">
        <v>37</v>
      </c>
      <c r="F23" s="1">
        <f>'A1'!XFC23</f>
        <v>44189</v>
      </c>
      <c r="G23" s="1">
        <f t="shared" si="0"/>
        <v>44203</v>
      </c>
      <c r="H23">
        <v>14</v>
      </c>
      <c r="I23" t="s">
        <v>184</v>
      </c>
      <c r="J23" s="2">
        <v>4490</v>
      </c>
      <c r="K23" s="2">
        <v>2800</v>
      </c>
      <c r="L23" s="2">
        <v>65.25</v>
      </c>
      <c r="N23" s="2">
        <v>0</v>
      </c>
      <c r="O23" s="2">
        <f t="shared" si="1"/>
        <v>7355.25</v>
      </c>
    </row>
    <row r="24" spans="1:15" x14ac:dyDescent="0.3">
      <c r="A24" t="s">
        <v>63</v>
      </c>
      <c r="B24" t="s">
        <v>146</v>
      </c>
      <c r="C24" t="s">
        <v>100</v>
      </c>
      <c r="D24" t="s">
        <v>6</v>
      </c>
      <c r="E24">
        <v>34</v>
      </c>
      <c r="F24" s="1">
        <f>'A1'!XFC24</f>
        <v>44131</v>
      </c>
      <c r="G24" s="1">
        <f t="shared" si="0"/>
        <v>44152</v>
      </c>
      <c r="H24">
        <v>21</v>
      </c>
      <c r="I24" t="s">
        <v>188</v>
      </c>
      <c r="J24" s="2">
        <v>7470</v>
      </c>
      <c r="K24" s="2">
        <v>4200</v>
      </c>
      <c r="L24" s="2">
        <v>91.25</v>
      </c>
      <c r="M24" s="3">
        <v>1</v>
      </c>
      <c r="N24" s="2">
        <v>325</v>
      </c>
      <c r="O24" s="2">
        <f t="shared" si="1"/>
        <v>12086.25</v>
      </c>
    </row>
    <row r="25" spans="1:15" x14ac:dyDescent="0.3">
      <c r="A25" t="s">
        <v>63</v>
      </c>
      <c r="B25" t="s">
        <v>64</v>
      </c>
      <c r="C25" t="s">
        <v>102</v>
      </c>
      <c r="D25" t="s">
        <v>6</v>
      </c>
      <c r="E25">
        <v>39</v>
      </c>
      <c r="F25" s="1">
        <f>'A1'!XFC25</f>
        <v>44170</v>
      </c>
      <c r="G25" s="1">
        <f t="shared" si="0"/>
        <v>44184</v>
      </c>
      <c r="H25">
        <v>14</v>
      </c>
      <c r="I25" t="s">
        <v>185</v>
      </c>
      <c r="J25" s="2">
        <v>6298</v>
      </c>
      <c r="K25" s="2">
        <v>2800</v>
      </c>
      <c r="L25" s="2">
        <v>65.25</v>
      </c>
      <c r="M25" s="3">
        <v>1</v>
      </c>
      <c r="N25" s="2">
        <v>325</v>
      </c>
      <c r="O25" s="2">
        <f t="shared" si="1"/>
        <v>9488.25</v>
      </c>
    </row>
    <row r="26" spans="1:15" x14ac:dyDescent="0.3">
      <c r="A26" t="s">
        <v>63</v>
      </c>
      <c r="B26" t="s">
        <v>162</v>
      </c>
      <c r="C26" t="s">
        <v>100</v>
      </c>
      <c r="D26" t="s">
        <v>6</v>
      </c>
      <c r="E26">
        <v>37</v>
      </c>
      <c r="F26" s="1">
        <f>'A1'!XFC26</f>
        <v>44142</v>
      </c>
      <c r="G26" s="1">
        <f t="shared" si="0"/>
        <v>44163</v>
      </c>
      <c r="H26">
        <v>21</v>
      </c>
      <c r="I26" t="s">
        <v>186</v>
      </c>
      <c r="J26" s="2">
        <v>8079</v>
      </c>
      <c r="K26" s="2">
        <v>4200</v>
      </c>
      <c r="L26" s="2">
        <v>91.25</v>
      </c>
      <c r="M26" s="3">
        <v>1</v>
      </c>
      <c r="N26" s="2">
        <v>325</v>
      </c>
      <c r="O26" s="2">
        <f t="shared" si="1"/>
        <v>12695.25</v>
      </c>
    </row>
    <row r="27" spans="1:15" x14ac:dyDescent="0.3">
      <c r="A27" t="s">
        <v>135</v>
      </c>
      <c r="B27" t="s">
        <v>161</v>
      </c>
      <c r="C27" t="s">
        <v>100</v>
      </c>
      <c r="D27" t="s">
        <v>6</v>
      </c>
      <c r="E27">
        <v>33</v>
      </c>
      <c r="F27" s="1">
        <f>'A1'!XFC27</f>
        <v>44113</v>
      </c>
      <c r="G27" s="1">
        <f t="shared" si="0"/>
        <v>44134</v>
      </c>
      <c r="H27">
        <v>21</v>
      </c>
      <c r="I27" t="s">
        <v>188</v>
      </c>
      <c r="J27" s="2">
        <v>7470</v>
      </c>
      <c r="K27" s="2">
        <v>4200</v>
      </c>
      <c r="L27" s="2">
        <v>91.25</v>
      </c>
      <c r="M27" s="3">
        <v>2</v>
      </c>
      <c r="N27" s="2">
        <v>650</v>
      </c>
      <c r="O27" s="2">
        <f t="shared" si="1"/>
        <v>12411.25</v>
      </c>
    </row>
    <row r="28" spans="1:15" x14ac:dyDescent="0.3">
      <c r="A28" t="s">
        <v>135</v>
      </c>
      <c r="B28" t="s">
        <v>136</v>
      </c>
      <c r="C28" t="s">
        <v>101</v>
      </c>
      <c r="D28" t="s">
        <v>6</v>
      </c>
      <c r="E28">
        <v>42</v>
      </c>
      <c r="F28" s="1">
        <f>'A1'!XFC28</f>
        <v>44121</v>
      </c>
      <c r="G28" s="1">
        <f t="shared" si="0"/>
        <v>44142</v>
      </c>
      <c r="H28">
        <v>21</v>
      </c>
      <c r="I28" t="s">
        <v>188</v>
      </c>
      <c r="J28" s="2">
        <v>7470</v>
      </c>
      <c r="K28" s="2">
        <v>4200</v>
      </c>
      <c r="L28" s="2">
        <v>91.25</v>
      </c>
      <c r="N28" s="2">
        <v>0</v>
      </c>
      <c r="O28" s="2">
        <f t="shared" si="1"/>
        <v>11761.25</v>
      </c>
    </row>
    <row r="29" spans="1:15" x14ac:dyDescent="0.3">
      <c r="A29" t="s">
        <v>60</v>
      </c>
      <c r="B29" t="s">
        <v>61</v>
      </c>
      <c r="C29" t="s">
        <v>102</v>
      </c>
      <c r="D29" t="s">
        <v>9</v>
      </c>
      <c r="E29">
        <v>25</v>
      </c>
      <c r="F29" s="1">
        <f>'A1'!XFC29</f>
        <v>44165</v>
      </c>
      <c r="G29" s="1">
        <f t="shared" si="0"/>
        <v>44175</v>
      </c>
      <c r="H29">
        <v>10</v>
      </c>
      <c r="I29" t="s">
        <v>185</v>
      </c>
      <c r="J29" s="2">
        <v>4927</v>
      </c>
      <c r="K29" s="2">
        <v>2000</v>
      </c>
      <c r="L29" s="2">
        <v>65.25</v>
      </c>
      <c r="N29" s="2">
        <v>0</v>
      </c>
      <c r="O29" s="2">
        <f t="shared" si="1"/>
        <v>6992.25</v>
      </c>
    </row>
    <row r="30" spans="1:15" x14ac:dyDescent="0.3">
      <c r="A30" t="s">
        <v>10</v>
      </c>
      <c r="B30" t="s">
        <v>67</v>
      </c>
      <c r="C30" t="s">
        <v>101</v>
      </c>
      <c r="D30" t="s">
        <v>6</v>
      </c>
      <c r="E30">
        <v>28</v>
      </c>
      <c r="F30" s="1">
        <f>'A1'!XFC30</f>
        <v>44171</v>
      </c>
      <c r="G30" s="1">
        <f t="shared" si="0"/>
        <v>44185</v>
      </c>
      <c r="H30">
        <v>14</v>
      </c>
      <c r="I30" t="s">
        <v>184</v>
      </c>
      <c r="J30" s="2">
        <v>4490</v>
      </c>
      <c r="K30" s="2">
        <v>2800</v>
      </c>
      <c r="L30" s="2">
        <v>65.25</v>
      </c>
      <c r="N30" s="2">
        <v>0</v>
      </c>
      <c r="O30" s="2">
        <f t="shared" si="1"/>
        <v>7355.25</v>
      </c>
    </row>
    <row r="31" spans="1:15" x14ac:dyDescent="0.3">
      <c r="A31" t="s">
        <v>10</v>
      </c>
      <c r="B31" t="s">
        <v>12</v>
      </c>
      <c r="C31" t="s">
        <v>101</v>
      </c>
      <c r="D31" t="s">
        <v>6</v>
      </c>
      <c r="E31">
        <v>53</v>
      </c>
      <c r="F31" s="1">
        <f>'A1'!XFC31</f>
        <v>44189</v>
      </c>
      <c r="G31" s="1">
        <f t="shared" si="0"/>
        <v>44203</v>
      </c>
      <c r="H31">
        <v>14</v>
      </c>
      <c r="I31" t="s">
        <v>188</v>
      </c>
      <c r="J31" s="2">
        <v>5480</v>
      </c>
      <c r="K31" s="2">
        <v>2800</v>
      </c>
      <c r="L31" s="2">
        <v>65.25</v>
      </c>
      <c r="N31" s="2">
        <v>0</v>
      </c>
      <c r="O31" s="2">
        <f t="shared" si="1"/>
        <v>8345.25</v>
      </c>
    </row>
    <row r="32" spans="1:15" x14ac:dyDescent="0.3">
      <c r="A32" t="s">
        <v>10</v>
      </c>
      <c r="B32" t="s">
        <v>32</v>
      </c>
      <c r="C32" t="s">
        <v>100</v>
      </c>
      <c r="D32" t="s">
        <v>6</v>
      </c>
      <c r="E32">
        <v>20</v>
      </c>
      <c r="F32" s="1">
        <f>'A1'!XFC32</f>
        <v>44108</v>
      </c>
      <c r="G32" s="1">
        <f t="shared" si="0"/>
        <v>44122</v>
      </c>
      <c r="H32">
        <v>14</v>
      </c>
      <c r="I32" t="s">
        <v>184</v>
      </c>
      <c r="J32" s="2">
        <v>4490</v>
      </c>
      <c r="K32" s="2">
        <v>2800</v>
      </c>
      <c r="L32" s="2">
        <v>65.25</v>
      </c>
      <c r="N32" s="2">
        <v>0</v>
      </c>
      <c r="O32" s="2">
        <f t="shared" si="1"/>
        <v>7355.25</v>
      </c>
    </row>
    <row r="33" spans="1:15" x14ac:dyDescent="0.3">
      <c r="A33" t="s">
        <v>10</v>
      </c>
      <c r="B33" t="s">
        <v>11</v>
      </c>
      <c r="C33" t="s">
        <v>100</v>
      </c>
      <c r="D33" t="s">
        <v>6</v>
      </c>
      <c r="E33">
        <v>47</v>
      </c>
      <c r="F33" s="1">
        <f>'A1'!XFC33</f>
        <v>44176</v>
      </c>
      <c r="G33" s="1">
        <f t="shared" si="0"/>
        <v>44190</v>
      </c>
      <c r="H33">
        <v>14</v>
      </c>
      <c r="I33" t="s">
        <v>187</v>
      </c>
      <c r="J33" s="2">
        <v>7918</v>
      </c>
      <c r="K33" s="2">
        <v>2800</v>
      </c>
      <c r="L33" s="2">
        <v>65.25</v>
      </c>
      <c r="N33" s="2">
        <v>0</v>
      </c>
      <c r="O33" s="2">
        <f t="shared" si="1"/>
        <v>10783.25</v>
      </c>
    </row>
    <row r="34" spans="1:15" x14ac:dyDescent="0.3">
      <c r="A34" t="s">
        <v>137</v>
      </c>
      <c r="B34" t="s">
        <v>46</v>
      </c>
      <c r="C34" t="s">
        <v>102</v>
      </c>
      <c r="D34" t="s">
        <v>9</v>
      </c>
      <c r="E34">
        <v>40</v>
      </c>
      <c r="F34" s="1">
        <f>'A1'!XFC34</f>
        <v>44188</v>
      </c>
      <c r="G34" s="1">
        <f t="shared" ref="G34:G65" si="2">F34+H34</f>
        <v>44202</v>
      </c>
      <c r="H34">
        <v>14</v>
      </c>
      <c r="I34" t="s">
        <v>184</v>
      </c>
      <c r="J34" s="2">
        <v>4490</v>
      </c>
      <c r="K34" s="2">
        <v>2800</v>
      </c>
      <c r="L34" s="2">
        <v>65.25</v>
      </c>
      <c r="N34" s="2">
        <v>0</v>
      </c>
      <c r="O34" s="2">
        <f t="shared" ref="O34:O65" si="3">J34+K34+L34+N34</f>
        <v>7355.25</v>
      </c>
    </row>
    <row r="35" spans="1:15" x14ac:dyDescent="0.3">
      <c r="A35" t="s">
        <v>137</v>
      </c>
      <c r="B35" t="s">
        <v>165</v>
      </c>
      <c r="C35" t="s">
        <v>101</v>
      </c>
      <c r="D35" t="s">
        <v>9</v>
      </c>
      <c r="E35">
        <v>22</v>
      </c>
      <c r="F35" s="1">
        <f>'A1'!XFC35</f>
        <v>44141</v>
      </c>
      <c r="G35" s="1">
        <f t="shared" si="2"/>
        <v>44155</v>
      </c>
      <c r="H35">
        <v>14</v>
      </c>
      <c r="I35" t="s">
        <v>186</v>
      </c>
      <c r="J35" s="2">
        <v>5886</v>
      </c>
      <c r="K35" s="2">
        <v>2800</v>
      </c>
      <c r="L35" s="2">
        <v>65.25</v>
      </c>
      <c r="N35" s="2">
        <v>0</v>
      </c>
      <c r="O35" s="2">
        <f t="shared" si="3"/>
        <v>8751.25</v>
      </c>
    </row>
    <row r="36" spans="1:15" x14ac:dyDescent="0.3">
      <c r="A36" t="s">
        <v>155</v>
      </c>
      <c r="B36" t="s">
        <v>180</v>
      </c>
      <c r="C36" t="s">
        <v>101</v>
      </c>
      <c r="D36" t="s">
        <v>9</v>
      </c>
      <c r="E36">
        <v>46</v>
      </c>
      <c r="F36" s="1">
        <f>'A1'!XFC36</f>
        <v>44189</v>
      </c>
      <c r="G36" s="1">
        <f t="shared" si="2"/>
        <v>44203</v>
      </c>
      <c r="H36">
        <v>14</v>
      </c>
      <c r="I36" t="s">
        <v>187</v>
      </c>
      <c r="J36" s="2">
        <v>7918</v>
      </c>
      <c r="K36" s="2">
        <v>2800</v>
      </c>
      <c r="L36" s="2">
        <v>65.25</v>
      </c>
      <c r="N36" s="2">
        <v>0</v>
      </c>
      <c r="O36" s="2">
        <f t="shared" si="3"/>
        <v>10783.25</v>
      </c>
    </row>
    <row r="37" spans="1:15" x14ac:dyDescent="0.3">
      <c r="A37" t="s">
        <v>155</v>
      </c>
      <c r="B37" t="s">
        <v>156</v>
      </c>
      <c r="C37" t="s">
        <v>100</v>
      </c>
      <c r="D37" t="s">
        <v>9</v>
      </c>
      <c r="E37">
        <v>22</v>
      </c>
      <c r="F37" s="1">
        <f>'A1'!XFC37</f>
        <v>44131</v>
      </c>
      <c r="G37" s="1">
        <f t="shared" si="2"/>
        <v>44145</v>
      </c>
      <c r="H37">
        <v>14</v>
      </c>
      <c r="I37" t="s">
        <v>184</v>
      </c>
      <c r="J37" s="2">
        <v>4490</v>
      </c>
      <c r="K37" s="2">
        <v>2800</v>
      </c>
      <c r="L37" s="2">
        <v>65.25</v>
      </c>
      <c r="M37" s="3">
        <v>1</v>
      </c>
      <c r="N37" s="2">
        <v>325</v>
      </c>
      <c r="O37" s="2">
        <f t="shared" si="3"/>
        <v>7680.25</v>
      </c>
    </row>
    <row r="38" spans="1:15" x14ac:dyDescent="0.3">
      <c r="A38" t="s">
        <v>48</v>
      </c>
      <c r="B38" t="s">
        <v>49</v>
      </c>
      <c r="C38" t="s">
        <v>100</v>
      </c>
      <c r="D38" t="s">
        <v>9</v>
      </c>
      <c r="E38">
        <v>49</v>
      </c>
      <c r="F38" s="1">
        <f>'A1'!XFC38</f>
        <v>44170</v>
      </c>
      <c r="G38" s="1">
        <f t="shared" si="2"/>
        <v>44185</v>
      </c>
      <c r="H38">
        <v>15</v>
      </c>
      <c r="I38" t="s">
        <v>185</v>
      </c>
      <c r="J38" s="2">
        <v>6641</v>
      </c>
      <c r="K38" s="2">
        <v>3000</v>
      </c>
      <c r="L38" s="2">
        <v>91.25</v>
      </c>
      <c r="N38" s="2">
        <v>0</v>
      </c>
      <c r="O38" s="2">
        <f t="shared" si="3"/>
        <v>9732.25</v>
      </c>
    </row>
    <row r="39" spans="1:15" x14ac:dyDescent="0.3">
      <c r="A39" t="s">
        <v>141</v>
      </c>
      <c r="B39" t="s">
        <v>143</v>
      </c>
      <c r="C39" t="s">
        <v>102</v>
      </c>
      <c r="D39" t="s">
        <v>9</v>
      </c>
      <c r="E39">
        <v>25</v>
      </c>
      <c r="F39" s="1">
        <f>'A1'!XFC39</f>
        <v>44127</v>
      </c>
      <c r="G39" s="1">
        <f t="shared" si="2"/>
        <v>44141</v>
      </c>
      <c r="H39">
        <v>14</v>
      </c>
      <c r="I39" t="s">
        <v>184</v>
      </c>
      <c r="J39" s="2">
        <v>4490</v>
      </c>
      <c r="K39" s="2">
        <v>2800</v>
      </c>
      <c r="L39" s="2">
        <v>65.25</v>
      </c>
      <c r="N39" s="2">
        <v>0</v>
      </c>
      <c r="O39" s="2">
        <f t="shared" si="3"/>
        <v>7355.25</v>
      </c>
    </row>
    <row r="40" spans="1:15" x14ac:dyDescent="0.3">
      <c r="A40" t="s">
        <v>141</v>
      </c>
      <c r="B40" t="s">
        <v>142</v>
      </c>
      <c r="C40" t="s">
        <v>101</v>
      </c>
      <c r="D40" t="s">
        <v>9</v>
      </c>
      <c r="E40">
        <v>37</v>
      </c>
      <c r="F40" s="1">
        <f>'A1'!XFC40</f>
        <v>44161</v>
      </c>
      <c r="G40" s="1">
        <f t="shared" si="2"/>
        <v>44175</v>
      </c>
      <c r="H40">
        <v>14</v>
      </c>
      <c r="I40" t="s">
        <v>186</v>
      </c>
      <c r="J40" s="2">
        <v>5886</v>
      </c>
      <c r="K40" s="2">
        <v>2800</v>
      </c>
      <c r="L40" s="2">
        <v>65.25</v>
      </c>
      <c r="N40" s="2">
        <v>0</v>
      </c>
      <c r="O40" s="2">
        <f t="shared" si="3"/>
        <v>8751.25</v>
      </c>
    </row>
    <row r="41" spans="1:15" x14ac:dyDescent="0.3">
      <c r="A41" t="s">
        <v>150</v>
      </c>
      <c r="B41" t="s">
        <v>151</v>
      </c>
      <c r="C41" t="s">
        <v>100</v>
      </c>
      <c r="D41" t="s">
        <v>9</v>
      </c>
      <c r="E41">
        <v>23</v>
      </c>
      <c r="F41" s="1">
        <f>'A1'!XFC41</f>
        <v>44153</v>
      </c>
      <c r="G41" s="1">
        <f t="shared" si="2"/>
        <v>44167</v>
      </c>
      <c r="H41">
        <v>14</v>
      </c>
      <c r="I41" t="s">
        <v>184</v>
      </c>
      <c r="J41" s="2">
        <v>4490</v>
      </c>
      <c r="K41" s="2">
        <v>2800</v>
      </c>
      <c r="L41" s="2">
        <v>65.25</v>
      </c>
      <c r="N41" s="2">
        <v>0</v>
      </c>
      <c r="O41" s="2">
        <f t="shared" si="3"/>
        <v>7355.25</v>
      </c>
    </row>
    <row r="42" spans="1:15" x14ac:dyDescent="0.3">
      <c r="A42" t="s">
        <v>150</v>
      </c>
      <c r="B42" t="s">
        <v>163</v>
      </c>
      <c r="C42" t="s">
        <v>100</v>
      </c>
      <c r="D42" t="s">
        <v>9</v>
      </c>
      <c r="E42">
        <v>39</v>
      </c>
      <c r="F42" s="1">
        <f>'A1'!XFC42</f>
        <v>44155</v>
      </c>
      <c r="G42" s="1">
        <f t="shared" si="2"/>
        <v>44169</v>
      </c>
      <c r="H42">
        <v>14</v>
      </c>
      <c r="I42" t="s">
        <v>185</v>
      </c>
      <c r="J42" s="2">
        <v>6298</v>
      </c>
      <c r="K42" s="2">
        <v>2800</v>
      </c>
      <c r="L42" s="2">
        <v>65.25</v>
      </c>
      <c r="M42" s="3">
        <v>1</v>
      </c>
      <c r="N42" s="2">
        <v>325</v>
      </c>
      <c r="O42" s="2">
        <f t="shared" si="3"/>
        <v>9488.25</v>
      </c>
    </row>
    <row r="43" spans="1:15" x14ac:dyDescent="0.3">
      <c r="A43" t="s">
        <v>108</v>
      </c>
      <c r="B43" t="s">
        <v>109</v>
      </c>
      <c r="C43" t="s">
        <v>100</v>
      </c>
      <c r="D43" t="s">
        <v>9</v>
      </c>
      <c r="E43">
        <v>27</v>
      </c>
      <c r="F43" s="1">
        <f>'A1'!XFC43</f>
        <v>44122</v>
      </c>
      <c r="G43" s="1">
        <f t="shared" si="2"/>
        <v>44136</v>
      </c>
      <c r="H43">
        <v>14</v>
      </c>
      <c r="I43" t="s">
        <v>186</v>
      </c>
      <c r="J43" s="2">
        <v>5886</v>
      </c>
      <c r="K43" s="2">
        <v>2800</v>
      </c>
      <c r="L43" s="2">
        <v>65.25</v>
      </c>
      <c r="N43" s="2">
        <v>0</v>
      </c>
      <c r="O43" s="2">
        <f t="shared" si="3"/>
        <v>8751.25</v>
      </c>
    </row>
    <row r="44" spans="1:15" x14ac:dyDescent="0.3">
      <c r="A44" t="s">
        <v>108</v>
      </c>
      <c r="B44" t="s">
        <v>132</v>
      </c>
      <c r="C44" t="s">
        <v>102</v>
      </c>
      <c r="D44" t="s">
        <v>9</v>
      </c>
      <c r="E44">
        <v>54</v>
      </c>
      <c r="F44" s="1">
        <f>'A1'!XFC44</f>
        <v>44194</v>
      </c>
      <c r="G44" s="1">
        <f t="shared" si="2"/>
        <v>44208</v>
      </c>
      <c r="H44">
        <v>14</v>
      </c>
      <c r="I44" t="s">
        <v>188</v>
      </c>
      <c r="J44" s="2">
        <v>5480</v>
      </c>
      <c r="K44" s="2">
        <v>2800</v>
      </c>
      <c r="L44" s="2">
        <v>65.25</v>
      </c>
      <c r="N44" s="2">
        <v>0</v>
      </c>
      <c r="O44" s="2">
        <f t="shared" si="3"/>
        <v>8345.25</v>
      </c>
    </row>
    <row r="45" spans="1:15" x14ac:dyDescent="0.3">
      <c r="A45" t="s">
        <v>130</v>
      </c>
      <c r="B45" t="s">
        <v>131</v>
      </c>
      <c r="C45" t="s">
        <v>101</v>
      </c>
      <c r="D45" t="s">
        <v>6</v>
      </c>
      <c r="E45">
        <v>33</v>
      </c>
      <c r="F45" s="1">
        <f>'A1'!XFC45</f>
        <v>44111</v>
      </c>
      <c r="G45" s="1">
        <f t="shared" si="2"/>
        <v>44132</v>
      </c>
      <c r="H45">
        <v>21</v>
      </c>
      <c r="I45" t="s">
        <v>187</v>
      </c>
      <c r="J45" s="2">
        <v>11127</v>
      </c>
      <c r="K45" s="2">
        <v>4200</v>
      </c>
      <c r="L45" s="2">
        <v>91.25</v>
      </c>
      <c r="M45" s="3">
        <v>1</v>
      </c>
      <c r="N45" s="2">
        <v>325</v>
      </c>
      <c r="O45" s="2">
        <f t="shared" si="3"/>
        <v>15743.25</v>
      </c>
    </row>
    <row r="46" spans="1:15" x14ac:dyDescent="0.3">
      <c r="A46" t="s">
        <v>130</v>
      </c>
      <c r="B46" t="s">
        <v>140</v>
      </c>
      <c r="C46" t="s">
        <v>101</v>
      </c>
      <c r="D46" t="s">
        <v>6</v>
      </c>
      <c r="E46">
        <v>54</v>
      </c>
      <c r="F46" s="1">
        <f>'A1'!XFC46</f>
        <v>44131</v>
      </c>
      <c r="G46" s="1">
        <f t="shared" si="2"/>
        <v>44152</v>
      </c>
      <c r="H46">
        <v>21</v>
      </c>
      <c r="I46" t="s">
        <v>186</v>
      </c>
      <c r="J46" s="2">
        <v>8079</v>
      </c>
      <c r="K46" s="2">
        <v>4200</v>
      </c>
      <c r="L46" s="2">
        <v>91.25</v>
      </c>
      <c r="M46" s="3">
        <v>2</v>
      </c>
      <c r="N46" s="2">
        <v>650</v>
      </c>
      <c r="O46" s="2">
        <f t="shared" si="3"/>
        <v>13020.25</v>
      </c>
    </row>
    <row r="47" spans="1:15" x14ac:dyDescent="0.3">
      <c r="A47" t="s">
        <v>128</v>
      </c>
      <c r="B47" t="s">
        <v>129</v>
      </c>
      <c r="C47" t="s">
        <v>101</v>
      </c>
      <c r="D47" t="s">
        <v>6</v>
      </c>
      <c r="E47">
        <v>32</v>
      </c>
      <c r="F47" s="1">
        <f>'A1'!XFC47</f>
        <v>44116</v>
      </c>
      <c r="G47" s="1">
        <f t="shared" si="2"/>
        <v>44137</v>
      </c>
      <c r="H47">
        <v>21</v>
      </c>
      <c r="I47" t="s">
        <v>185</v>
      </c>
      <c r="J47" s="2">
        <v>6697</v>
      </c>
      <c r="K47" s="2">
        <v>4200</v>
      </c>
      <c r="L47" s="2">
        <v>91.25</v>
      </c>
      <c r="N47" s="2">
        <v>0</v>
      </c>
      <c r="O47" s="2">
        <f t="shared" si="3"/>
        <v>10988.25</v>
      </c>
    </row>
    <row r="48" spans="1:15" x14ac:dyDescent="0.3">
      <c r="A48" t="s">
        <v>128</v>
      </c>
      <c r="B48" t="s">
        <v>174</v>
      </c>
      <c r="C48" t="s">
        <v>101</v>
      </c>
      <c r="D48" t="s">
        <v>6</v>
      </c>
      <c r="E48">
        <v>55</v>
      </c>
      <c r="F48" s="1">
        <f>'A1'!XFC48</f>
        <v>44186</v>
      </c>
      <c r="G48" s="1">
        <f t="shared" si="2"/>
        <v>44207</v>
      </c>
      <c r="H48">
        <v>21</v>
      </c>
      <c r="I48" t="s">
        <v>184</v>
      </c>
      <c r="J48" s="2">
        <v>5985</v>
      </c>
      <c r="K48" s="2">
        <v>4200</v>
      </c>
      <c r="L48" s="2">
        <v>91.25</v>
      </c>
      <c r="M48" s="3">
        <v>2</v>
      </c>
      <c r="N48" s="2">
        <v>650</v>
      </c>
      <c r="O48" s="2">
        <f t="shared" si="3"/>
        <v>10926.25</v>
      </c>
    </row>
    <row r="49" spans="1:15" x14ac:dyDescent="0.3">
      <c r="A49" t="s">
        <v>73</v>
      </c>
      <c r="B49" t="s">
        <v>74</v>
      </c>
      <c r="C49" t="s">
        <v>102</v>
      </c>
      <c r="D49" t="s">
        <v>6</v>
      </c>
      <c r="E49">
        <v>43</v>
      </c>
      <c r="F49" s="1">
        <f>'A1'!XFC49</f>
        <v>44126</v>
      </c>
      <c r="G49" s="1">
        <f t="shared" si="2"/>
        <v>44140</v>
      </c>
      <c r="H49">
        <v>14</v>
      </c>
      <c r="I49" t="s">
        <v>186</v>
      </c>
      <c r="J49" s="2">
        <v>5886</v>
      </c>
      <c r="K49" s="2">
        <v>2800</v>
      </c>
      <c r="L49" s="2">
        <v>65.25</v>
      </c>
      <c r="N49" s="2">
        <v>0</v>
      </c>
      <c r="O49" s="2">
        <f t="shared" si="3"/>
        <v>8751.25</v>
      </c>
    </row>
    <row r="50" spans="1:15" x14ac:dyDescent="0.3">
      <c r="A50" t="s">
        <v>73</v>
      </c>
      <c r="B50" t="s">
        <v>81</v>
      </c>
      <c r="C50" t="s">
        <v>102</v>
      </c>
      <c r="D50" t="s">
        <v>6</v>
      </c>
      <c r="E50">
        <v>39</v>
      </c>
      <c r="F50" s="1">
        <f>'A1'!XFC50</f>
        <v>44105</v>
      </c>
      <c r="G50" s="1">
        <f t="shared" si="2"/>
        <v>44119</v>
      </c>
      <c r="H50">
        <v>14</v>
      </c>
      <c r="I50" t="s">
        <v>184</v>
      </c>
      <c r="J50" s="2">
        <v>4490</v>
      </c>
      <c r="K50" s="2">
        <v>2800</v>
      </c>
      <c r="L50" s="2">
        <v>65.25</v>
      </c>
      <c r="N50" s="2">
        <v>0</v>
      </c>
      <c r="O50" s="2">
        <f t="shared" si="3"/>
        <v>7355.25</v>
      </c>
    </row>
    <row r="51" spans="1:15" x14ac:dyDescent="0.3">
      <c r="A51" t="s">
        <v>73</v>
      </c>
      <c r="B51" t="s">
        <v>75</v>
      </c>
      <c r="C51" t="s">
        <v>102</v>
      </c>
      <c r="D51" t="s">
        <v>6</v>
      </c>
      <c r="E51">
        <v>21</v>
      </c>
      <c r="F51" s="1">
        <f>'A1'!XFC51</f>
        <v>44125</v>
      </c>
      <c r="G51" s="1">
        <f t="shared" si="2"/>
        <v>44139</v>
      </c>
      <c r="H51">
        <v>14</v>
      </c>
      <c r="I51" t="s">
        <v>184</v>
      </c>
      <c r="J51" s="2">
        <v>4490</v>
      </c>
      <c r="K51" s="2">
        <v>2800</v>
      </c>
      <c r="L51" s="2">
        <v>65.25</v>
      </c>
      <c r="N51" s="2">
        <v>0</v>
      </c>
      <c r="O51" s="2">
        <f t="shared" si="3"/>
        <v>7355.25</v>
      </c>
    </row>
    <row r="52" spans="1:15" x14ac:dyDescent="0.3">
      <c r="A52" t="s">
        <v>76</v>
      </c>
      <c r="B52" t="s">
        <v>152</v>
      </c>
      <c r="C52" t="s">
        <v>101</v>
      </c>
      <c r="D52" t="s">
        <v>9</v>
      </c>
      <c r="E52">
        <v>24</v>
      </c>
      <c r="F52" s="1">
        <f>'A1'!XFC52</f>
        <v>44182</v>
      </c>
      <c r="G52" s="1">
        <f t="shared" si="2"/>
        <v>44196</v>
      </c>
      <c r="H52">
        <v>14</v>
      </c>
      <c r="I52" t="s">
        <v>188</v>
      </c>
      <c r="J52" s="2">
        <v>5480</v>
      </c>
      <c r="K52" s="2">
        <v>2800</v>
      </c>
      <c r="L52" s="2">
        <v>65.25</v>
      </c>
      <c r="N52" s="2">
        <v>0</v>
      </c>
      <c r="O52" s="2">
        <f t="shared" si="3"/>
        <v>8345.25</v>
      </c>
    </row>
    <row r="53" spans="1:15" x14ac:dyDescent="0.3">
      <c r="A53" t="s">
        <v>76</v>
      </c>
      <c r="B53" t="s">
        <v>112</v>
      </c>
      <c r="C53" t="s">
        <v>102</v>
      </c>
      <c r="D53" t="s">
        <v>9</v>
      </c>
      <c r="E53">
        <v>52</v>
      </c>
      <c r="F53" s="1">
        <f>'A1'!XFC53</f>
        <v>44171</v>
      </c>
      <c r="G53" s="1">
        <f t="shared" si="2"/>
        <v>44185</v>
      </c>
      <c r="H53">
        <v>14</v>
      </c>
      <c r="I53" t="s">
        <v>187</v>
      </c>
      <c r="J53" s="2">
        <v>7918</v>
      </c>
      <c r="K53" s="2">
        <v>2800</v>
      </c>
      <c r="L53" s="2">
        <v>65.25</v>
      </c>
      <c r="N53" s="2">
        <v>0</v>
      </c>
      <c r="O53" s="2">
        <f t="shared" si="3"/>
        <v>10783.25</v>
      </c>
    </row>
    <row r="54" spans="1:15" x14ac:dyDescent="0.3">
      <c r="A54" t="s">
        <v>76</v>
      </c>
      <c r="B54" t="s">
        <v>77</v>
      </c>
      <c r="C54" t="s">
        <v>102</v>
      </c>
      <c r="D54" t="s">
        <v>9</v>
      </c>
      <c r="E54">
        <v>47</v>
      </c>
      <c r="F54" s="1">
        <f>'A1'!XFC54</f>
        <v>44134</v>
      </c>
      <c r="G54" s="1">
        <f t="shared" si="2"/>
        <v>44149</v>
      </c>
      <c r="H54">
        <v>15</v>
      </c>
      <c r="I54" t="s">
        <v>188</v>
      </c>
      <c r="J54" s="2">
        <v>5764</v>
      </c>
      <c r="K54" s="2">
        <v>3000</v>
      </c>
      <c r="L54" s="2">
        <v>91.25</v>
      </c>
      <c r="N54" s="2">
        <v>0</v>
      </c>
      <c r="O54" s="2">
        <f t="shared" si="3"/>
        <v>8855.25</v>
      </c>
    </row>
    <row r="55" spans="1:15" x14ac:dyDescent="0.3">
      <c r="A55" t="s">
        <v>119</v>
      </c>
      <c r="B55" t="s">
        <v>120</v>
      </c>
      <c r="C55" t="s">
        <v>102</v>
      </c>
      <c r="D55" t="s">
        <v>6</v>
      </c>
      <c r="E55">
        <v>42</v>
      </c>
      <c r="F55" s="1">
        <f>'A1'!XFC55</f>
        <v>44178</v>
      </c>
      <c r="G55" s="1">
        <f t="shared" si="2"/>
        <v>44199</v>
      </c>
      <c r="H55">
        <v>21</v>
      </c>
      <c r="I55" t="s">
        <v>186</v>
      </c>
      <c r="J55" s="2">
        <v>8079</v>
      </c>
      <c r="K55" s="2">
        <v>4200</v>
      </c>
      <c r="L55" s="2">
        <v>91.25</v>
      </c>
      <c r="N55" s="2">
        <v>0</v>
      </c>
      <c r="O55" s="2">
        <f t="shared" si="3"/>
        <v>12370.25</v>
      </c>
    </row>
    <row r="56" spans="1:15" x14ac:dyDescent="0.3">
      <c r="A56" t="s">
        <v>119</v>
      </c>
      <c r="B56" t="s">
        <v>179</v>
      </c>
      <c r="C56" t="s">
        <v>102</v>
      </c>
      <c r="D56" t="s">
        <v>6</v>
      </c>
      <c r="E56">
        <v>40</v>
      </c>
      <c r="F56" s="1">
        <f>'A1'!XFC56</f>
        <v>44106</v>
      </c>
      <c r="G56" s="1">
        <f t="shared" si="2"/>
        <v>44116</v>
      </c>
      <c r="H56">
        <v>10</v>
      </c>
      <c r="I56" t="s">
        <v>187</v>
      </c>
      <c r="J56" s="2">
        <v>6084</v>
      </c>
      <c r="K56" s="2">
        <v>2000</v>
      </c>
      <c r="L56" s="2">
        <v>65.25</v>
      </c>
      <c r="N56" s="2">
        <v>0</v>
      </c>
      <c r="O56" s="2">
        <f t="shared" si="3"/>
        <v>8149.25</v>
      </c>
    </row>
    <row r="57" spans="1:15" x14ac:dyDescent="0.3">
      <c r="A57" t="s">
        <v>121</v>
      </c>
      <c r="B57" t="s">
        <v>122</v>
      </c>
      <c r="C57" t="s">
        <v>100</v>
      </c>
      <c r="D57" t="s">
        <v>9</v>
      </c>
      <c r="E57">
        <v>46</v>
      </c>
      <c r="F57" s="1">
        <f>'A1'!XFC57</f>
        <v>44130</v>
      </c>
      <c r="G57" s="1">
        <f t="shared" si="2"/>
        <v>44144</v>
      </c>
      <c r="H57">
        <v>14</v>
      </c>
      <c r="I57" t="s">
        <v>184</v>
      </c>
      <c r="J57" s="2">
        <v>4490</v>
      </c>
      <c r="K57" s="2">
        <v>2800</v>
      </c>
      <c r="L57" s="2">
        <v>65.25</v>
      </c>
      <c r="M57" s="3">
        <v>1</v>
      </c>
      <c r="N57" s="2">
        <v>325</v>
      </c>
      <c r="O57" s="2">
        <f t="shared" si="3"/>
        <v>7680.25</v>
      </c>
    </row>
    <row r="58" spans="1:15" x14ac:dyDescent="0.3">
      <c r="A58" t="s">
        <v>121</v>
      </c>
      <c r="B58" t="s">
        <v>171</v>
      </c>
      <c r="C58" t="s">
        <v>100</v>
      </c>
      <c r="D58" t="s">
        <v>9</v>
      </c>
      <c r="E58">
        <v>49</v>
      </c>
      <c r="F58" s="1">
        <f>'A1'!XFC58</f>
        <v>44191</v>
      </c>
      <c r="G58" s="1">
        <f t="shared" si="2"/>
        <v>44205</v>
      </c>
      <c r="H58">
        <v>14</v>
      </c>
      <c r="I58" t="s">
        <v>184</v>
      </c>
      <c r="J58" s="2">
        <v>4490</v>
      </c>
      <c r="K58" s="2">
        <v>2800</v>
      </c>
      <c r="L58" s="2">
        <v>65.25</v>
      </c>
      <c r="N58" s="2">
        <v>0</v>
      </c>
      <c r="O58" s="2">
        <f t="shared" si="3"/>
        <v>7355.25</v>
      </c>
    </row>
    <row r="59" spans="1:15" x14ac:dyDescent="0.3">
      <c r="A59" t="s">
        <v>168</v>
      </c>
      <c r="B59" t="s">
        <v>178</v>
      </c>
      <c r="C59" t="s">
        <v>102</v>
      </c>
      <c r="D59" t="s">
        <v>6</v>
      </c>
      <c r="E59">
        <v>49</v>
      </c>
      <c r="F59" s="1">
        <f>'A1'!XFC59</f>
        <v>44178</v>
      </c>
      <c r="G59" s="1">
        <f t="shared" si="2"/>
        <v>44188</v>
      </c>
      <c r="H59">
        <v>10</v>
      </c>
      <c r="I59" t="s">
        <v>186</v>
      </c>
      <c r="J59" s="2">
        <v>4633</v>
      </c>
      <c r="K59" s="2">
        <v>2000</v>
      </c>
      <c r="L59" s="2">
        <v>65.25</v>
      </c>
      <c r="M59" s="3">
        <v>1</v>
      </c>
      <c r="N59" s="2">
        <v>325</v>
      </c>
      <c r="O59" s="2">
        <f t="shared" si="3"/>
        <v>7023.25</v>
      </c>
    </row>
    <row r="60" spans="1:15" x14ac:dyDescent="0.3">
      <c r="A60" t="s">
        <v>168</v>
      </c>
      <c r="B60" t="s">
        <v>169</v>
      </c>
      <c r="C60" t="s">
        <v>102</v>
      </c>
      <c r="D60" t="s">
        <v>6</v>
      </c>
      <c r="E60">
        <v>41</v>
      </c>
      <c r="F60" s="1">
        <f>'A1'!XFC60</f>
        <v>44174</v>
      </c>
      <c r="G60" s="1">
        <f t="shared" si="2"/>
        <v>44195</v>
      </c>
      <c r="H60">
        <v>21</v>
      </c>
      <c r="I60" t="s">
        <v>186</v>
      </c>
      <c r="J60" s="2">
        <v>8079</v>
      </c>
      <c r="K60" s="2">
        <v>4200</v>
      </c>
      <c r="L60" s="2">
        <v>91.25</v>
      </c>
      <c r="N60" s="2">
        <v>0</v>
      </c>
      <c r="O60" s="2">
        <f t="shared" si="3"/>
        <v>12370.25</v>
      </c>
    </row>
    <row r="61" spans="1:15" x14ac:dyDescent="0.3">
      <c r="A61" t="s">
        <v>138</v>
      </c>
      <c r="B61" t="s">
        <v>139</v>
      </c>
      <c r="C61" t="s">
        <v>100</v>
      </c>
      <c r="D61" t="s">
        <v>9</v>
      </c>
      <c r="E61">
        <v>32</v>
      </c>
      <c r="F61" s="1">
        <f>'A1'!XFC61</f>
        <v>44116</v>
      </c>
      <c r="G61" s="1">
        <f t="shared" si="2"/>
        <v>44130</v>
      </c>
      <c r="H61">
        <v>14</v>
      </c>
      <c r="I61" t="s">
        <v>185</v>
      </c>
      <c r="J61" s="2">
        <v>6298</v>
      </c>
      <c r="K61" s="2">
        <v>2800</v>
      </c>
      <c r="L61" s="2">
        <v>65.25</v>
      </c>
      <c r="N61" s="2">
        <v>0</v>
      </c>
      <c r="O61" s="2">
        <f t="shared" si="3"/>
        <v>9163.25</v>
      </c>
    </row>
    <row r="62" spans="1:15" x14ac:dyDescent="0.3">
      <c r="A62" t="s">
        <v>138</v>
      </c>
      <c r="B62" t="s">
        <v>149</v>
      </c>
      <c r="C62" t="s">
        <v>100</v>
      </c>
      <c r="D62" t="s">
        <v>9</v>
      </c>
      <c r="E62">
        <v>34</v>
      </c>
      <c r="F62" s="1">
        <f>'A1'!XFC62</f>
        <v>44105</v>
      </c>
      <c r="G62" s="1">
        <f t="shared" si="2"/>
        <v>44119</v>
      </c>
      <c r="H62">
        <v>14</v>
      </c>
      <c r="I62" t="s">
        <v>188</v>
      </c>
      <c r="J62" s="2">
        <v>5480</v>
      </c>
      <c r="K62" s="2">
        <v>2800</v>
      </c>
      <c r="L62" s="2">
        <v>65.25</v>
      </c>
      <c r="N62" s="2">
        <v>0</v>
      </c>
      <c r="O62" s="2">
        <f t="shared" si="3"/>
        <v>8345.25</v>
      </c>
    </row>
    <row r="63" spans="1:15" x14ac:dyDescent="0.3">
      <c r="A63" t="s">
        <v>57</v>
      </c>
      <c r="B63" t="s">
        <v>58</v>
      </c>
      <c r="C63" t="s">
        <v>102</v>
      </c>
      <c r="D63" t="s">
        <v>9</v>
      </c>
      <c r="E63">
        <v>23</v>
      </c>
      <c r="F63" s="1">
        <f>'A1'!XFC63</f>
        <v>44183</v>
      </c>
      <c r="G63" s="1">
        <f t="shared" si="2"/>
        <v>44198</v>
      </c>
      <c r="H63">
        <v>15</v>
      </c>
      <c r="I63" t="s">
        <v>184</v>
      </c>
      <c r="J63" s="2">
        <v>4704</v>
      </c>
      <c r="K63" s="2">
        <v>3000</v>
      </c>
      <c r="L63" s="2">
        <v>91.25</v>
      </c>
      <c r="M63" s="3">
        <v>1</v>
      </c>
      <c r="N63" s="2">
        <v>325</v>
      </c>
      <c r="O63" s="2">
        <f t="shared" si="3"/>
        <v>8120.25</v>
      </c>
    </row>
    <row r="64" spans="1:15" x14ac:dyDescent="0.3">
      <c r="A64" t="s">
        <v>57</v>
      </c>
      <c r="B64" t="s">
        <v>86</v>
      </c>
      <c r="C64" t="s">
        <v>101</v>
      </c>
      <c r="D64" t="s">
        <v>9</v>
      </c>
      <c r="E64">
        <v>27</v>
      </c>
      <c r="F64" s="1">
        <f>'A1'!XFC64</f>
        <v>44116</v>
      </c>
      <c r="G64" s="1">
        <f t="shared" si="2"/>
        <v>44123</v>
      </c>
      <c r="H64">
        <v>7</v>
      </c>
      <c r="I64" t="s">
        <v>185</v>
      </c>
      <c r="J64" s="2">
        <v>3899</v>
      </c>
      <c r="K64" s="2">
        <v>1400</v>
      </c>
      <c r="L64" s="2">
        <v>34.799999999999997</v>
      </c>
      <c r="N64" s="2">
        <v>0</v>
      </c>
      <c r="O64" s="2">
        <f t="shared" si="3"/>
        <v>5333.8</v>
      </c>
    </row>
    <row r="65" spans="1:15" x14ac:dyDescent="0.3">
      <c r="A65" t="s">
        <v>55</v>
      </c>
      <c r="B65" t="s">
        <v>56</v>
      </c>
      <c r="C65" t="s">
        <v>102</v>
      </c>
      <c r="D65" t="s">
        <v>9</v>
      </c>
      <c r="E65">
        <v>47</v>
      </c>
      <c r="F65" s="1">
        <f>'A1'!XFC65</f>
        <v>44188</v>
      </c>
      <c r="G65" s="1">
        <f t="shared" si="2"/>
        <v>44203</v>
      </c>
      <c r="H65">
        <v>15</v>
      </c>
      <c r="I65" t="s">
        <v>188</v>
      </c>
      <c r="J65" s="2">
        <v>5764</v>
      </c>
      <c r="K65" s="2">
        <v>3000</v>
      </c>
      <c r="L65" s="2">
        <v>91.25</v>
      </c>
      <c r="N65" s="2">
        <v>0</v>
      </c>
      <c r="O65" s="2">
        <f t="shared" si="3"/>
        <v>8855.25</v>
      </c>
    </row>
    <row r="66" spans="1:15" x14ac:dyDescent="0.3">
      <c r="A66" t="s">
        <v>39</v>
      </c>
      <c r="B66" t="s">
        <v>43</v>
      </c>
      <c r="C66" t="s">
        <v>100</v>
      </c>
      <c r="D66" t="s">
        <v>9</v>
      </c>
      <c r="E66">
        <v>28</v>
      </c>
      <c r="F66" s="1">
        <f>'A1'!XFC66</f>
        <v>44167</v>
      </c>
      <c r="G66" s="1">
        <f t="shared" ref="G66:G97" si="4">F66+H66</f>
        <v>44174</v>
      </c>
      <c r="H66">
        <v>7</v>
      </c>
      <c r="I66" t="s">
        <v>188</v>
      </c>
      <c r="J66" s="2">
        <v>3490</v>
      </c>
      <c r="K66" s="2">
        <v>1400</v>
      </c>
      <c r="L66" s="2">
        <v>34.799999999999997</v>
      </c>
      <c r="M66" s="3">
        <v>1</v>
      </c>
      <c r="N66" s="2">
        <v>325</v>
      </c>
      <c r="O66" s="2">
        <f t="shared" ref="O66:O97" si="5">J66+K66+L66+N66</f>
        <v>5249.8</v>
      </c>
    </row>
    <row r="67" spans="1:15" x14ac:dyDescent="0.3">
      <c r="A67" t="s">
        <v>39</v>
      </c>
      <c r="B67" t="s">
        <v>50</v>
      </c>
      <c r="C67" t="s">
        <v>100</v>
      </c>
      <c r="D67" t="s">
        <v>9</v>
      </c>
      <c r="E67">
        <v>46</v>
      </c>
      <c r="F67" s="1">
        <f>'A1'!XFC67</f>
        <v>44127</v>
      </c>
      <c r="G67" s="1">
        <f t="shared" si="4"/>
        <v>44137</v>
      </c>
      <c r="H67">
        <v>10</v>
      </c>
      <c r="I67" t="s">
        <v>184</v>
      </c>
      <c r="J67" s="2">
        <v>3636</v>
      </c>
      <c r="K67" s="2">
        <v>2000</v>
      </c>
      <c r="L67" s="2">
        <v>65.25</v>
      </c>
      <c r="N67" s="2">
        <v>0</v>
      </c>
      <c r="O67" s="2">
        <f t="shared" si="5"/>
        <v>5701.25</v>
      </c>
    </row>
    <row r="68" spans="1:15" x14ac:dyDescent="0.3">
      <c r="A68" t="s">
        <v>39</v>
      </c>
      <c r="B68" t="s">
        <v>40</v>
      </c>
      <c r="C68" t="s">
        <v>101</v>
      </c>
      <c r="D68" t="s">
        <v>9</v>
      </c>
      <c r="E68">
        <v>55</v>
      </c>
      <c r="F68" s="1">
        <f>'A1'!XFC68</f>
        <v>44171</v>
      </c>
      <c r="G68" s="1">
        <f t="shared" si="4"/>
        <v>44178</v>
      </c>
      <c r="H68">
        <v>7</v>
      </c>
      <c r="I68" t="s">
        <v>186</v>
      </c>
      <c r="J68" s="2">
        <v>3693</v>
      </c>
      <c r="K68" s="2">
        <v>1400</v>
      </c>
      <c r="L68" s="2">
        <v>34.799999999999997</v>
      </c>
      <c r="N68" s="2">
        <v>0</v>
      </c>
      <c r="O68" s="2">
        <f t="shared" si="5"/>
        <v>5127.8</v>
      </c>
    </row>
    <row r="69" spans="1:15" x14ac:dyDescent="0.3">
      <c r="A69" t="s">
        <v>39</v>
      </c>
      <c r="B69" t="s">
        <v>92</v>
      </c>
      <c r="C69" t="s">
        <v>102</v>
      </c>
      <c r="D69" t="s">
        <v>9</v>
      </c>
      <c r="E69">
        <v>25</v>
      </c>
      <c r="F69" s="1">
        <f>'A1'!XFC69</f>
        <v>44143</v>
      </c>
      <c r="G69" s="1">
        <f t="shared" si="4"/>
        <v>44150</v>
      </c>
      <c r="H69">
        <v>7</v>
      </c>
      <c r="I69" t="s">
        <v>187</v>
      </c>
      <c r="J69" s="2">
        <v>4709</v>
      </c>
      <c r="K69" s="2">
        <v>1400</v>
      </c>
      <c r="L69" s="2">
        <v>34.799999999999997</v>
      </c>
      <c r="N69" s="2">
        <v>0</v>
      </c>
      <c r="O69" s="2">
        <f t="shared" si="5"/>
        <v>6143.8</v>
      </c>
    </row>
    <row r="70" spans="1:15" x14ac:dyDescent="0.3">
      <c r="A70" t="s">
        <v>39</v>
      </c>
      <c r="B70" t="s">
        <v>54</v>
      </c>
      <c r="C70" t="s">
        <v>101</v>
      </c>
      <c r="D70" t="s">
        <v>9</v>
      </c>
      <c r="E70">
        <v>51</v>
      </c>
      <c r="F70" s="1">
        <f>'A1'!XFC70</f>
        <v>44168</v>
      </c>
      <c r="G70" s="1">
        <f t="shared" si="4"/>
        <v>44175</v>
      </c>
      <c r="H70">
        <v>7</v>
      </c>
      <c r="I70" t="s">
        <v>184</v>
      </c>
      <c r="J70" s="2">
        <v>2995</v>
      </c>
      <c r="K70" s="2">
        <v>1400</v>
      </c>
      <c r="L70" s="2">
        <v>34.799999999999997</v>
      </c>
      <c r="N70" s="2">
        <v>0</v>
      </c>
      <c r="O70" s="2">
        <f t="shared" si="5"/>
        <v>4429.8</v>
      </c>
    </row>
    <row r="71" spans="1:15" x14ac:dyDescent="0.3">
      <c r="A71" t="s">
        <v>39</v>
      </c>
      <c r="B71" t="s">
        <v>59</v>
      </c>
      <c r="C71" t="s">
        <v>102</v>
      </c>
      <c r="D71" t="s">
        <v>9</v>
      </c>
      <c r="E71">
        <v>41</v>
      </c>
      <c r="F71" s="1">
        <f>'A1'!XFC71</f>
        <v>44126</v>
      </c>
      <c r="G71" s="1">
        <f t="shared" si="4"/>
        <v>44133</v>
      </c>
      <c r="H71">
        <v>7</v>
      </c>
      <c r="I71" t="s">
        <v>184</v>
      </c>
      <c r="J71" s="2">
        <v>2995</v>
      </c>
      <c r="K71" s="2">
        <v>1400</v>
      </c>
      <c r="L71" s="2">
        <v>34.799999999999997</v>
      </c>
      <c r="N71" s="2">
        <v>0</v>
      </c>
      <c r="O71" s="2">
        <f t="shared" si="5"/>
        <v>4429.8</v>
      </c>
    </row>
    <row r="72" spans="1:15" x14ac:dyDescent="0.3">
      <c r="A72" t="s">
        <v>39</v>
      </c>
      <c r="B72" t="s">
        <v>45</v>
      </c>
      <c r="C72" t="s">
        <v>100</v>
      </c>
      <c r="D72" t="s">
        <v>9</v>
      </c>
      <c r="E72">
        <v>26</v>
      </c>
      <c r="F72" s="1">
        <f>'A1'!XFC72</f>
        <v>44156</v>
      </c>
      <c r="G72" s="1">
        <f t="shared" si="4"/>
        <v>44171</v>
      </c>
      <c r="H72">
        <v>15</v>
      </c>
      <c r="I72" t="s">
        <v>187</v>
      </c>
      <c r="J72" s="2">
        <v>8376</v>
      </c>
      <c r="K72" s="2">
        <v>3000</v>
      </c>
      <c r="L72" s="2">
        <v>91.25</v>
      </c>
      <c r="M72" s="3">
        <v>1</v>
      </c>
      <c r="N72" s="2">
        <v>325</v>
      </c>
      <c r="O72" s="2">
        <f t="shared" si="5"/>
        <v>11792.25</v>
      </c>
    </row>
    <row r="73" spans="1:15" x14ac:dyDescent="0.3">
      <c r="A73" t="s">
        <v>39</v>
      </c>
      <c r="B73" t="s">
        <v>62</v>
      </c>
      <c r="C73" t="s">
        <v>101</v>
      </c>
      <c r="D73" t="s">
        <v>9</v>
      </c>
      <c r="E73">
        <v>54</v>
      </c>
      <c r="F73" s="1">
        <f>'A1'!XFC73</f>
        <v>44167</v>
      </c>
      <c r="G73" s="1">
        <f t="shared" si="4"/>
        <v>44182</v>
      </c>
      <c r="H73">
        <v>15</v>
      </c>
      <c r="I73" t="s">
        <v>185</v>
      </c>
      <c r="J73" s="2">
        <v>6641</v>
      </c>
      <c r="K73" s="2">
        <v>3000</v>
      </c>
      <c r="L73" s="2">
        <v>91.25</v>
      </c>
      <c r="N73" s="2">
        <v>0</v>
      </c>
      <c r="O73" s="2">
        <f t="shared" si="5"/>
        <v>9732.25</v>
      </c>
    </row>
    <row r="74" spans="1:15" x14ac:dyDescent="0.3">
      <c r="A74" t="s">
        <v>39</v>
      </c>
      <c r="B74" t="s">
        <v>98</v>
      </c>
      <c r="C74" t="s">
        <v>102</v>
      </c>
      <c r="D74" t="s">
        <v>9</v>
      </c>
      <c r="E74">
        <v>34</v>
      </c>
      <c r="F74" s="1">
        <f>'A1'!XFC74</f>
        <v>44144</v>
      </c>
      <c r="G74" s="1">
        <f t="shared" si="4"/>
        <v>44151</v>
      </c>
      <c r="H74">
        <v>7</v>
      </c>
      <c r="I74" t="s">
        <v>185</v>
      </c>
      <c r="J74" s="2">
        <v>3899</v>
      </c>
      <c r="K74" s="2">
        <v>1400</v>
      </c>
      <c r="L74" s="2">
        <v>34.799999999999997</v>
      </c>
      <c r="N74" s="2">
        <v>0</v>
      </c>
      <c r="O74" s="2">
        <f t="shared" si="5"/>
        <v>5333.8</v>
      </c>
    </row>
    <row r="75" spans="1:15" x14ac:dyDescent="0.3">
      <c r="A75" t="s">
        <v>144</v>
      </c>
      <c r="B75" t="s">
        <v>145</v>
      </c>
      <c r="C75" t="s">
        <v>100</v>
      </c>
      <c r="D75" t="s">
        <v>9</v>
      </c>
      <c r="E75">
        <v>23</v>
      </c>
      <c r="F75" s="1">
        <f>'A1'!XFC75</f>
        <v>44172</v>
      </c>
      <c r="G75" s="1">
        <f t="shared" si="4"/>
        <v>44186</v>
      </c>
      <c r="H75">
        <v>14</v>
      </c>
      <c r="I75" t="s">
        <v>184</v>
      </c>
      <c r="J75" s="2">
        <v>4490</v>
      </c>
      <c r="K75" s="2">
        <v>2800</v>
      </c>
      <c r="L75" s="2">
        <v>65.25</v>
      </c>
      <c r="N75" s="2">
        <v>0</v>
      </c>
      <c r="O75" s="2">
        <f t="shared" si="5"/>
        <v>7355.25</v>
      </c>
    </row>
    <row r="76" spans="1:15" x14ac:dyDescent="0.3">
      <c r="A76" t="s">
        <v>133</v>
      </c>
      <c r="B76" t="s">
        <v>167</v>
      </c>
      <c r="C76" t="s">
        <v>102</v>
      </c>
      <c r="D76" t="s">
        <v>6</v>
      </c>
      <c r="E76">
        <v>33</v>
      </c>
      <c r="F76" s="1">
        <f>'A1'!XFC76</f>
        <v>44130</v>
      </c>
      <c r="G76" s="1">
        <f t="shared" si="4"/>
        <v>44151</v>
      </c>
      <c r="H76">
        <v>21</v>
      </c>
      <c r="I76" t="s">
        <v>187</v>
      </c>
      <c r="J76" s="2">
        <v>11127</v>
      </c>
      <c r="K76" s="2">
        <v>4200</v>
      </c>
      <c r="L76" s="2">
        <v>91.25</v>
      </c>
      <c r="M76" s="3">
        <v>1</v>
      </c>
      <c r="N76" s="2">
        <v>325</v>
      </c>
      <c r="O76" s="2">
        <f t="shared" si="5"/>
        <v>15743.25</v>
      </c>
    </row>
    <row r="77" spans="1:15" x14ac:dyDescent="0.3">
      <c r="A77" t="s">
        <v>133</v>
      </c>
      <c r="B77" t="s">
        <v>134</v>
      </c>
      <c r="C77" t="s">
        <v>102</v>
      </c>
      <c r="D77" t="s">
        <v>6</v>
      </c>
      <c r="E77">
        <v>41</v>
      </c>
      <c r="F77" s="1">
        <f>'A1'!XFC77</f>
        <v>44182</v>
      </c>
      <c r="G77" s="1">
        <f t="shared" si="4"/>
        <v>44203</v>
      </c>
      <c r="H77">
        <v>21</v>
      </c>
      <c r="I77" t="s">
        <v>188</v>
      </c>
      <c r="J77" s="2">
        <v>7470</v>
      </c>
      <c r="K77" s="2">
        <v>4200</v>
      </c>
      <c r="L77" s="2">
        <v>91.25</v>
      </c>
      <c r="M77" s="3">
        <v>1</v>
      </c>
      <c r="N77" s="2">
        <v>325</v>
      </c>
      <c r="O77" s="2">
        <f t="shared" si="5"/>
        <v>12086.25</v>
      </c>
    </row>
    <row r="78" spans="1:15" x14ac:dyDescent="0.3">
      <c r="A78" t="s">
        <v>133</v>
      </c>
      <c r="B78" t="s">
        <v>176</v>
      </c>
      <c r="C78" t="s">
        <v>102</v>
      </c>
      <c r="D78" t="s">
        <v>6</v>
      </c>
      <c r="E78">
        <v>38</v>
      </c>
      <c r="F78" s="1">
        <f>'A1'!XFC78</f>
        <v>44138</v>
      </c>
      <c r="G78" s="1">
        <f t="shared" si="4"/>
        <v>44148</v>
      </c>
      <c r="H78">
        <v>10</v>
      </c>
      <c r="I78" t="s">
        <v>187</v>
      </c>
      <c r="J78" s="2">
        <v>6084</v>
      </c>
      <c r="K78" s="2">
        <v>2000</v>
      </c>
      <c r="L78" s="2">
        <v>65.25</v>
      </c>
      <c r="M78" s="3">
        <v>1</v>
      </c>
      <c r="N78" s="2">
        <v>325</v>
      </c>
      <c r="O78" s="2">
        <f t="shared" si="5"/>
        <v>8474.25</v>
      </c>
    </row>
    <row r="79" spans="1:15" x14ac:dyDescent="0.3">
      <c r="A79" t="s">
        <v>147</v>
      </c>
      <c r="B79" t="s">
        <v>148</v>
      </c>
      <c r="C79" t="s">
        <v>102</v>
      </c>
      <c r="D79" t="s">
        <v>6</v>
      </c>
      <c r="E79">
        <v>42</v>
      </c>
      <c r="F79" s="1">
        <f>'A1'!XFC79</f>
        <v>44120</v>
      </c>
      <c r="G79" s="1">
        <f t="shared" si="4"/>
        <v>44141</v>
      </c>
      <c r="H79">
        <v>21</v>
      </c>
      <c r="I79" t="s">
        <v>185</v>
      </c>
      <c r="J79" s="2">
        <v>8697</v>
      </c>
      <c r="K79" s="2">
        <v>4200</v>
      </c>
      <c r="L79" s="2">
        <v>91.25</v>
      </c>
      <c r="M79" s="3">
        <v>1</v>
      </c>
      <c r="N79" s="2">
        <v>325</v>
      </c>
      <c r="O79" s="2">
        <f t="shared" si="5"/>
        <v>13313.25</v>
      </c>
    </row>
    <row r="80" spans="1:15" x14ac:dyDescent="0.3">
      <c r="A80" t="s">
        <v>147</v>
      </c>
      <c r="B80" t="s">
        <v>166</v>
      </c>
      <c r="C80" t="s">
        <v>101</v>
      </c>
      <c r="D80" t="s">
        <v>6</v>
      </c>
      <c r="E80">
        <v>32</v>
      </c>
      <c r="F80" s="1">
        <f>'A1'!XFC80</f>
        <v>44109</v>
      </c>
      <c r="G80" s="1">
        <f t="shared" si="4"/>
        <v>44130</v>
      </c>
      <c r="H80">
        <v>21</v>
      </c>
      <c r="I80" t="s">
        <v>184</v>
      </c>
      <c r="J80" s="2">
        <v>5985</v>
      </c>
      <c r="K80" s="2">
        <v>4200</v>
      </c>
      <c r="L80" s="2">
        <v>91.25</v>
      </c>
      <c r="N80" s="2">
        <v>0</v>
      </c>
      <c r="O80" s="2">
        <f t="shared" si="5"/>
        <v>10276.25</v>
      </c>
    </row>
    <row r="81" spans="1:15" x14ac:dyDescent="0.3">
      <c r="A81" t="s">
        <v>71</v>
      </c>
      <c r="B81" t="s">
        <v>80</v>
      </c>
      <c r="C81" t="s">
        <v>101</v>
      </c>
      <c r="D81" t="s">
        <v>9</v>
      </c>
      <c r="E81">
        <v>31</v>
      </c>
      <c r="F81" s="1">
        <f>'A1'!XFC81</f>
        <v>44159</v>
      </c>
      <c r="G81" s="1">
        <f t="shared" si="4"/>
        <v>44174</v>
      </c>
      <c r="H81">
        <v>15</v>
      </c>
      <c r="I81" t="s">
        <v>186</v>
      </c>
      <c r="J81" s="2">
        <v>6199</v>
      </c>
      <c r="K81" s="2">
        <v>3000</v>
      </c>
      <c r="L81" s="2">
        <v>91.25</v>
      </c>
      <c r="N81" s="2">
        <v>0</v>
      </c>
      <c r="O81" s="2">
        <f t="shared" si="5"/>
        <v>9290.25</v>
      </c>
    </row>
    <row r="82" spans="1:15" x14ac:dyDescent="0.3">
      <c r="A82" t="s">
        <v>71</v>
      </c>
      <c r="B82" t="s">
        <v>72</v>
      </c>
      <c r="C82" t="s">
        <v>102</v>
      </c>
      <c r="D82" t="s">
        <v>9</v>
      </c>
      <c r="E82">
        <v>47</v>
      </c>
      <c r="F82" s="1">
        <f>'A1'!XFC82</f>
        <v>44170</v>
      </c>
      <c r="G82" s="1">
        <f t="shared" si="4"/>
        <v>44185</v>
      </c>
      <c r="H82">
        <v>15</v>
      </c>
      <c r="I82" t="s">
        <v>186</v>
      </c>
      <c r="J82" s="2">
        <v>6199</v>
      </c>
      <c r="K82" s="2">
        <v>3000</v>
      </c>
      <c r="L82" s="2">
        <v>91.25</v>
      </c>
      <c r="N82" s="2">
        <v>0</v>
      </c>
      <c r="O82" s="2">
        <f t="shared" si="5"/>
        <v>9290.25</v>
      </c>
    </row>
    <row r="83" spans="1:15" x14ac:dyDescent="0.3">
      <c r="A83" t="s">
        <v>16</v>
      </c>
      <c r="B83" t="s">
        <v>17</v>
      </c>
      <c r="C83" t="s">
        <v>101</v>
      </c>
      <c r="D83" t="s">
        <v>6</v>
      </c>
      <c r="E83">
        <v>20</v>
      </c>
      <c r="F83" s="1">
        <f>'A1'!XFC83</f>
        <v>44147</v>
      </c>
      <c r="G83" s="1">
        <f t="shared" si="4"/>
        <v>44161</v>
      </c>
      <c r="H83">
        <v>14</v>
      </c>
      <c r="I83" t="s">
        <v>185</v>
      </c>
      <c r="J83" s="2">
        <v>6298</v>
      </c>
      <c r="K83" s="2">
        <v>2800</v>
      </c>
      <c r="L83" s="2">
        <v>65.25</v>
      </c>
      <c r="M83" s="3">
        <v>1</v>
      </c>
      <c r="N83" s="2">
        <v>325</v>
      </c>
      <c r="O83" s="2">
        <f t="shared" si="5"/>
        <v>9488.25</v>
      </c>
    </row>
    <row r="84" spans="1:15" x14ac:dyDescent="0.3">
      <c r="A84" t="s">
        <v>104</v>
      </c>
      <c r="B84" t="s">
        <v>158</v>
      </c>
      <c r="C84" t="s">
        <v>101</v>
      </c>
      <c r="D84" t="s">
        <v>9</v>
      </c>
      <c r="E84">
        <v>28</v>
      </c>
      <c r="F84" s="1">
        <f>'A1'!XFC84</f>
        <v>44177</v>
      </c>
      <c r="G84" s="1">
        <f t="shared" si="4"/>
        <v>44191</v>
      </c>
      <c r="H84">
        <v>14</v>
      </c>
      <c r="I84" t="s">
        <v>184</v>
      </c>
      <c r="J84" s="2">
        <v>4490</v>
      </c>
      <c r="K84" s="2">
        <v>2800</v>
      </c>
      <c r="L84" s="2">
        <v>65.25</v>
      </c>
      <c r="N84" s="2">
        <v>0</v>
      </c>
      <c r="O84" s="2">
        <f t="shared" si="5"/>
        <v>7355.25</v>
      </c>
    </row>
    <row r="85" spans="1:15" x14ac:dyDescent="0.3">
      <c r="A85" t="s">
        <v>104</v>
      </c>
      <c r="B85" t="s">
        <v>164</v>
      </c>
      <c r="C85" t="s">
        <v>102</v>
      </c>
      <c r="D85" t="s">
        <v>9</v>
      </c>
      <c r="E85">
        <v>33</v>
      </c>
      <c r="F85" s="1">
        <f>'A1'!XFC85</f>
        <v>44156</v>
      </c>
      <c r="G85" s="1">
        <f t="shared" si="4"/>
        <v>44170</v>
      </c>
      <c r="H85">
        <v>14</v>
      </c>
      <c r="I85" t="s">
        <v>185</v>
      </c>
      <c r="J85" s="2">
        <v>6298</v>
      </c>
      <c r="K85" s="2">
        <v>2800</v>
      </c>
      <c r="L85" s="2">
        <v>65.25</v>
      </c>
      <c r="M85" s="3">
        <v>1</v>
      </c>
      <c r="N85" s="2">
        <v>325</v>
      </c>
      <c r="O85" s="2">
        <f t="shared" si="5"/>
        <v>9488.25</v>
      </c>
    </row>
    <row r="86" spans="1:15" x14ac:dyDescent="0.3">
      <c r="A86" t="s">
        <v>104</v>
      </c>
      <c r="B86" t="s">
        <v>175</v>
      </c>
      <c r="C86" t="s">
        <v>101</v>
      </c>
      <c r="D86" t="s">
        <v>9</v>
      </c>
      <c r="E86">
        <v>37</v>
      </c>
      <c r="F86" s="1">
        <f>'A1'!XFC86</f>
        <v>44159</v>
      </c>
      <c r="G86" s="1">
        <f t="shared" si="4"/>
        <v>44173</v>
      </c>
      <c r="H86">
        <v>14</v>
      </c>
      <c r="I86" t="s">
        <v>187</v>
      </c>
      <c r="J86" s="2">
        <v>7918</v>
      </c>
      <c r="K86" s="2">
        <v>2800</v>
      </c>
      <c r="L86" s="2">
        <v>65.25</v>
      </c>
      <c r="N86" s="2">
        <v>0</v>
      </c>
      <c r="O86" s="2">
        <f t="shared" si="5"/>
        <v>10783.25</v>
      </c>
    </row>
    <row r="87" spans="1:15" x14ac:dyDescent="0.3">
      <c r="A87" t="s">
        <v>104</v>
      </c>
      <c r="B87" t="s">
        <v>105</v>
      </c>
      <c r="C87" t="s">
        <v>100</v>
      </c>
      <c r="D87" t="s">
        <v>9</v>
      </c>
      <c r="E87">
        <v>47</v>
      </c>
      <c r="F87" s="1">
        <f>'A1'!XFC87</f>
        <v>44166</v>
      </c>
      <c r="G87" s="1">
        <f t="shared" si="4"/>
        <v>44181</v>
      </c>
      <c r="H87">
        <v>15</v>
      </c>
      <c r="I87" t="s">
        <v>188</v>
      </c>
      <c r="J87" s="2">
        <v>5764</v>
      </c>
      <c r="K87" s="2">
        <v>3000</v>
      </c>
      <c r="L87" s="2">
        <v>91.25</v>
      </c>
      <c r="N87" s="2">
        <v>0</v>
      </c>
      <c r="O87" s="2">
        <f t="shared" si="5"/>
        <v>8855.25</v>
      </c>
    </row>
    <row r="88" spans="1:15" x14ac:dyDescent="0.3">
      <c r="A88" t="s">
        <v>104</v>
      </c>
      <c r="B88" t="s">
        <v>153</v>
      </c>
      <c r="C88" t="s">
        <v>101</v>
      </c>
      <c r="D88" t="s">
        <v>9</v>
      </c>
      <c r="E88">
        <v>37</v>
      </c>
      <c r="F88" s="1">
        <f>'A1'!XFC88</f>
        <v>44156</v>
      </c>
      <c r="G88" s="1">
        <f t="shared" si="4"/>
        <v>44170</v>
      </c>
      <c r="H88">
        <v>14</v>
      </c>
      <c r="I88" t="s">
        <v>185</v>
      </c>
      <c r="J88" s="2">
        <v>6298</v>
      </c>
      <c r="K88" s="2">
        <v>2800</v>
      </c>
      <c r="L88" s="2">
        <v>65.25</v>
      </c>
      <c r="N88" s="2">
        <v>0</v>
      </c>
      <c r="O88" s="2">
        <f t="shared" si="5"/>
        <v>9163.25</v>
      </c>
    </row>
    <row r="89" spans="1:15" x14ac:dyDescent="0.3">
      <c r="A89" t="s">
        <v>7</v>
      </c>
      <c r="B89" t="s">
        <v>99</v>
      </c>
      <c r="C89" t="s">
        <v>102</v>
      </c>
      <c r="D89" t="s">
        <v>9</v>
      </c>
      <c r="E89">
        <v>29</v>
      </c>
      <c r="F89" s="1">
        <f>'A1'!XFC89</f>
        <v>44176</v>
      </c>
      <c r="G89" s="1">
        <f t="shared" si="4"/>
        <v>44183</v>
      </c>
      <c r="H89">
        <v>7</v>
      </c>
      <c r="I89" t="s">
        <v>184</v>
      </c>
      <c r="J89" s="2">
        <v>2995</v>
      </c>
      <c r="K89" s="2">
        <v>1400</v>
      </c>
      <c r="L89" s="2">
        <v>34.799999999999997</v>
      </c>
      <c r="N89" s="2">
        <v>0</v>
      </c>
      <c r="O89" s="2">
        <f t="shared" si="5"/>
        <v>4429.8</v>
      </c>
    </row>
    <row r="90" spans="1:15" x14ac:dyDescent="0.3">
      <c r="A90" t="s">
        <v>7</v>
      </c>
      <c r="B90" t="s">
        <v>13</v>
      </c>
      <c r="C90" t="s">
        <v>100</v>
      </c>
      <c r="D90" t="s">
        <v>9</v>
      </c>
      <c r="E90">
        <v>44</v>
      </c>
      <c r="F90" s="1">
        <f>'A1'!XFC90</f>
        <v>44112</v>
      </c>
      <c r="G90" s="1">
        <f t="shared" si="4"/>
        <v>44127</v>
      </c>
      <c r="H90">
        <v>15</v>
      </c>
      <c r="I90" t="s">
        <v>185</v>
      </c>
      <c r="J90" s="2">
        <v>6641</v>
      </c>
      <c r="K90" s="2">
        <v>3000</v>
      </c>
      <c r="L90" s="2">
        <v>91.25</v>
      </c>
      <c r="M90" s="3">
        <v>2</v>
      </c>
      <c r="N90" s="2">
        <v>650</v>
      </c>
      <c r="O90" s="2">
        <f t="shared" si="5"/>
        <v>10382.25</v>
      </c>
    </row>
    <row r="91" spans="1:15" x14ac:dyDescent="0.3">
      <c r="A91" t="s">
        <v>7</v>
      </c>
      <c r="B91" t="s">
        <v>8</v>
      </c>
      <c r="C91" t="s">
        <v>100</v>
      </c>
      <c r="D91" t="s">
        <v>9</v>
      </c>
      <c r="E91">
        <v>25</v>
      </c>
      <c r="F91" s="1">
        <f>'A1'!XFC91</f>
        <v>44194</v>
      </c>
      <c r="G91" s="1">
        <f t="shared" si="4"/>
        <v>44204</v>
      </c>
      <c r="H91">
        <v>10</v>
      </c>
      <c r="I91" t="s">
        <v>188</v>
      </c>
      <c r="J91" s="2">
        <v>4343</v>
      </c>
      <c r="K91" s="2">
        <v>2000</v>
      </c>
      <c r="L91" s="2">
        <v>65.25</v>
      </c>
      <c r="N91" s="2">
        <v>0</v>
      </c>
      <c r="O91" s="2">
        <f t="shared" si="5"/>
        <v>6408.25</v>
      </c>
    </row>
    <row r="92" spans="1:15" x14ac:dyDescent="0.3">
      <c r="A92" t="s">
        <v>7</v>
      </c>
      <c r="B92" t="s">
        <v>36</v>
      </c>
      <c r="C92" t="s">
        <v>101</v>
      </c>
      <c r="D92" t="s">
        <v>9</v>
      </c>
      <c r="E92">
        <v>41</v>
      </c>
      <c r="F92" s="1">
        <f>'A1'!XFC92</f>
        <v>44149</v>
      </c>
      <c r="G92" s="1">
        <f t="shared" si="4"/>
        <v>44156</v>
      </c>
      <c r="H92">
        <v>7</v>
      </c>
      <c r="I92" t="s">
        <v>184</v>
      </c>
      <c r="J92" s="2">
        <v>2995</v>
      </c>
      <c r="K92" s="2">
        <v>1400</v>
      </c>
      <c r="L92" s="2">
        <v>34.799999999999997</v>
      </c>
      <c r="N92" s="2">
        <v>0</v>
      </c>
      <c r="O92" s="2">
        <f t="shared" si="5"/>
        <v>4429.8</v>
      </c>
    </row>
    <row r="93" spans="1:15" x14ac:dyDescent="0.3">
      <c r="A93" t="s">
        <v>28</v>
      </c>
      <c r="B93" t="s">
        <v>70</v>
      </c>
      <c r="C93" t="s">
        <v>102</v>
      </c>
      <c r="D93" t="s">
        <v>9</v>
      </c>
      <c r="E93">
        <v>51</v>
      </c>
      <c r="F93" s="1">
        <f>'A1'!XFC93</f>
        <v>44168</v>
      </c>
      <c r="G93" s="1">
        <f t="shared" si="4"/>
        <v>44175</v>
      </c>
      <c r="H93">
        <v>7</v>
      </c>
      <c r="I93" t="s">
        <v>187</v>
      </c>
      <c r="J93" s="2">
        <v>4709</v>
      </c>
      <c r="K93" s="2">
        <v>1400</v>
      </c>
      <c r="L93" s="2">
        <v>34.799999999999997</v>
      </c>
      <c r="N93" s="2">
        <v>0</v>
      </c>
      <c r="O93" s="2">
        <f t="shared" si="5"/>
        <v>6143.8</v>
      </c>
    </row>
    <row r="94" spans="1:15" x14ac:dyDescent="0.3">
      <c r="A94" t="s">
        <v>28</v>
      </c>
      <c r="B94" t="s">
        <v>68</v>
      </c>
      <c r="C94" t="s">
        <v>101</v>
      </c>
      <c r="D94" t="s">
        <v>9</v>
      </c>
      <c r="E94">
        <v>22</v>
      </c>
      <c r="F94" s="1">
        <f>'A1'!XFC94</f>
        <v>44192</v>
      </c>
      <c r="G94" s="1">
        <f t="shared" si="4"/>
        <v>44207</v>
      </c>
      <c r="H94">
        <v>15</v>
      </c>
      <c r="I94" t="s">
        <v>185</v>
      </c>
      <c r="J94" s="2">
        <v>6641</v>
      </c>
      <c r="K94" s="2">
        <v>3000</v>
      </c>
      <c r="L94" s="2">
        <v>91.25</v>
      </c>
      <c r="N94" s="2">
        <v>0</v>
      </c>
      <c r="O94" s="2">
        <f t="shared" si="5"/>
        <v>9732.25</v>
      </c>
    </row>
    <row r="95" spans="1:15" x14ac:dyDescent="0.3">
      <c r="A95" t="s">
        <v>28</v>
      </c>
      <c r="B95" t="s">
        <v>87</v>
      </c>
      <c r="C95" t="s">
        <v>102</v>
      </c>
      <c r="D95" t="s">
        <v>9</v>
      </c>
      <c r="E95">
        <v>29</v>
      </c>
      <c r="F95" s="1">
        <f>'A1'!XFC95</f>
        <v>44173</v>
      </c>
      <c r="G95" s="1">
        <f t="shared" si="4"/>
        <v>44180</v>
      </c>
      <c r="H95">
        <v>7</v>
      </c>
      <c r="I95" t="s">
        <v>185</v>
      </c>
      <c r="J95" s="2">
        <v>3899</v>
      </c>
      <c r="K95" s="2">
        <v>1400</v>
      </c>
      <c r="L95" s="2">
        <v>34.799999999999997</v>
      </c>
      <c r="N95" s="2">
        <v>0</v>
      </c>
      <c r="O95" s="2">
        <f t="shared" si="5"/>
        <v>5333.8</v>
      </c>
    </row>
    <row r="96" spans="1:15" x14ac:dyDescent="0.3">
      <c r="A96" t="s">
        <v>28</v>
      </c>
      <c r="B96" t="s">
        <v>89</v>
      </c>
      <c r="C96" t="s">
        <v>102</v>
      </c>
      <c r="D96" t="s">
        <v>9</v>
      </c>
      <c r="E96">
        <v>25</v>
      </c>
      <c r="F96" s="1">
        <f>'A1'!XFC96</f>
        <v>44192</v>
      </c>
      <c r="G96" s="1">
        <f t="shared" si="4"/>
        <v>44199</v>
      </c>
      <c r="H96">
        <v>7</v>
      </c>
      <c r="I96" t="s">
        <v>186</v>
      </c>
      <c r="J96" s="2">
        <v>3693</v>
      </c>
      <c r="K96" s="2">
        <v>1400</v>
      </c>
      <c r="L96" s="2">
        <v>34.799999999999997</v>
      </c>
      <c r="N96" s="2">
        <v>0</v>
      </c>
      <c r="O96" s="2">
        <f t="shared" si="5"/>
        <v>5127.8</v>
      </c>
    </row>
    <row r="97" spans="1:15" x14ac:dyDescent="0.3">
      <c r="A97" t="s">
        <v>28</v>
      </c>
      <c r="B97" t="s">
        <v>88</v>
      </c>
      <c r="C97" t="s">
        <v>102</v>
      </c>
      <c r="D97" t="s">
        <v>9</v>
      </c>
      <c r="E97">
        <v>55</v>
      </c>
      <c r="F97" s="1">
        <f>'A1'!XFC97</f>
        <v>44189</v>
      </c>
      <c r="G97" s="1">
        <f t="shared" si="4"/>
        <v>44204</v>
      </c>
      <c r="H97">
        <v>15</v>
      </c>
      <c r="I97" t="s">
        <v>184</v>
      </c>
      <c r="J97" s="2">
        <v>4704</v>
      </c>
      <c r="K97" s="2">
        <v>3000</v>
      </c>
      <c r="L97" s="2">
        <v>91.25</v>
      </c>
      <c r="N97" s="2">
        <v>0</v>
      </c>
      <c r="O97" s="2">
        <f t="shared" si="5"/>
        <v>7795.25</v>
      </c>
    </row>
    <row r="98" spans="1:15" x14ac:dyDescent="0.3">
      <c r="A98" t="s">
        <v>28</v>
      </c>
      <c r="B98" t="s">
        <v>90</v>
      </c>
      <c r="C98" t="s">
        <v>102</v>
      </c>
      <c r="D98" t="s">
        <v>9</v>
      </c>
      <c r="E98">
        <v>34</v>
      </c>
      <c r="F98" s="1">
        <f>'A1'!XFC98</f>
        <v>44137</v>
      </c>
      <c r="G98" s="1">
        <f t="shared" ref="G98:G129" si="6">F98+H98</f>
        <v>44144</v>
      </c>
      <c r="H98">
        <v>7</v>
      </c>
      <c r="I98" t="s">
        <v>187</v>
      </c>
      <c r="J98" s="2">
        <v>4709</v>
      </c>
      <c r="K98" s="2">
        <v>1400</v>
      </c>
      <c r="L98" s="2">
        <v>34.799999999999997</v>
      </c>
      <c r="N98" s="2">
        <v>0</v>
      </c>
      <c r="O98" s="2">
        <f t="shared" ref="O98:O129" si="7">J98+K98+L98+N98</f>
        <v>6143.8</v>
      </c>
    </row>
    <row r="99" spans="1:15" x14ac:dyDescent="0.3">
      <c r="A99" t="s">
        <v>28</v>
      </c>
      <c r="B99" t="s">
        <v>53</v>
      </c>
      <c r="C99" t="s">
        <v>102</v>
      </c>
      <c r="D99" t="s">
        <v>9</v>
      </c>
      <c r="E99">
        <v>51</v>
      </c>
      <c r="F99" s="1">
        <f>'A1'!XFC99</f>
        <v>44143</v>
      </c>
      <c r="G99" s="1">
        <f t="shared" si="6"/>
        <v>44150</v>
      </c>
      <c r="H99">
        <v>7</v>
      </c>
      <c r="I99" t="s">
        <v>185</v>
      </c>
      <c r="J99" s="2">
        <v>3899</v>
      </c>
      <c r="K99" s="2">
        <v>1400</v>
      </c>
      <c r="L99" s="2">
        <v>34.799999999999997</v>
      </c>
      <c r="M99" s="3">
        <v>1</v>
      </c>
      <c r="N99" s="2">
        <v>325</v>
      </c>
      <c r="O99" s="2">
        <f t="shared" si="7"/>
        <v>5658.8</v>
      </c>
    </row>
    <row r="100" spans="1:15" x14ac:dyDescent="0.3">
      <c r="A100" t="s">
        <v>28</v>
      </c>
      <c r="B100" t="s">
        <v>29</v>
      </c>
      <c r="C100" t="s">
        <v>100</v>
      </c>
      <c r="D100" t="s">
        <v>9</v>
      </c>
      <c r="E100">
        <v>22</v>
      </c>
      <c r="F100" s="1">
        <f>'A1'!XFC100</f>
        <v>44154</v>
      </c>
      <c r="G100" s="1">
        <f t="shared" si="6"/>
        <v>44161</v>
      </c>
      <c r="H100">
        <v>7</v>
      </c>
      <c r="I100" t="s">
        <v>186</v>
      </c>
      <c r="J100" s="2">
        <v>3693</v>
      </c>
      <c r="K100" s="2">
        <v>1400</v>
      </c>
      <c r="L100" s="2">
        <v>34.799999999999997</v>
      </c>
      <c r="N100" s="2">
        <v>0</v>
      </c>
      <c r="O100" s="2">
        <f t="shared" si="7"/>
        <v>5127.8</v>
      </c>
    </row>
    <row r="101" spans="1:15" x14ac:dyDescent="0.3">
      <c r="A101" t="s">
        <v>26</v>
      </c>
      <c r="B101" t="s">
        <v>27</v>
      </c>
      <c r="C101" t="s">
        <v>100</v>
      </c>
      <c r="D101" t="s">
        <v>9</v>
      </c>
      <c r="E101">
        <v>25</v>
      </c>
      <c r="F101" s="1">
        <f>'A1'!XFC101</f>
        <v>44142</v>
      </c>
      <c r="G101" s="1">
        <f t="shared" si="6"/>
        <v>44152</v>
      </c>
      <c r="H101">
        <v>10</v>
      </c>
      <c r="I101" t="s">
        <v>187</v>
      </c>
      <c r="J101" s="2">
        <v>6084</v>
      </c>
      <c r="K101" s="2">
        <v>2000</v>
      </c>
      <c r="L101" s="2">
        <v>65.25</v>
      </c>
      <c r="N101" s="2">
        <v>0</v>
      </c>
      <c r="O101" s="2">
        <f t="shared" si="7"/>
        <v>8149.25</v>
      </c>
    </row>
    <row r="102" spans="1:15" x14ac:dyDescent="0.3">
      <c r="A102" t="s">
        <v>37</v>
      </c>
      <c r="B102" t="s">
        <v>38</v>
      </c>
      <c r="C102" t="s">
        <v>100</v>
      </c>
      <c r="D102" t="s">
        <v>9</v>
      </c>
      <c r="E102">
        <v>20</v>
      </c>
      <c r="F102" s="1">
        <f>'A1'!XFC102</f>
        <v>44116</v>
      </c>
      <c r="G102" s="1">
        <f t="shared" si="6"/>
        <v>44126</v>
      </c>
      <c r="H102">
        <v>10</v>
      </c>
      <c r="I102" t="s">
        <v>185</v>
      </c>
      <c r="J102" s="2">
        <v>4927</v>
      </c>
      <c r="K102" s="2">
        <v>2000</v>
      </c>
      <c r="L102" s="2">
        <v>65.25</v>
      </c>
      <c r="N102" s="2">
        <v>0</v>
      </c>
      <c r="O102" s="2">
        <f t="shared" si="7"/>
        <v>6992.25</v>
      </c>
    </row>
    <row r="103" spans="1:15" x14ac:dyDescent="0.3">
      <c r="A103" t="s">
        <v>37</v>
      </c>
      <c r="B103" t="s">
        <v>46</v>
      </c>
      <c r="C103" t="s">
        <v>101</v>
      </c>
      <c r="D103" t="s">
        <v>9</v>
      </c>
      <c r="E103">
        <v>20</v>
      </c>
      <c r="F103" s="1">
        <f>'A1'!XFC103</f>
        <v>44184</v>
      </c>
      <c r="G103" s="1">
        <f t="shared" si="6"/>
        <v>44199</v>
      </c>
      <c r="H103">
        <v>15</v>
      </c>
      <c r="I103" t="s">
        <v>188</v>
      </c>
      <c r="J103" s="2">
        <v>5764</v>
      </c>
      <c r="K103" s="2">
        <v>3000</v>
      </c>
      <c r="L103" s="2">
        <v>91.25</v>
      </c>
      <c r="N103" s="2">
        <v>0</v>
      </c>
      <c r="O103" s="2">
        <f t="shared" si="7"/>
        <v>8855.25</v>
      </c>
    </row>
    <row r="104" spans="1:15" x14ac:dyDescent="0.3">
      <c r="A104" t="s">
        <v>37</v>
      </c>
      <c r="B104" t="s">
        <v>97</v>
      </c>
      <c r="C104" t="s">
        <v>101</v>
      </c>
      <c r="D104" t="s">
        <v>9</v>
      </c>
      <c r="E104">
        <v>30</v>
      </c>
      <c r="F104" s="1">
        <f>'A1'!XFC104</f>
        <v>44133</v>
      </c>
      <c r="G104" s="1">
        <f t="shared" si="6"/>
        <v>44140</v>
      </c>
      <c r="H104">
        <v>7</v>
      </c>
      <c r="I104" t="s">
        <v>184</v>
      </c>
      <c r="J104" s="2">
        <v>2995</v>
      </c>
      <c r="K104" s="2">
        <v>1400</v>
      </c>
      <c r="L104" s="2">
        <v>34.799999999999997</v>
      </c>
      <c r="N104" s="2">
        <v>0</v>
      </c>
      <c r="O104" s="2">
        <f t="shared" si="7"/>
        <v>4429.8</v>
      </c>
    </row>
    <row r="105" spans="1:15" x14ac:dyDescent="0.3">
      <c r="A105" t="s">
        <v>37</v>
      </c>
      <c r="B105" t="s">
        <v>42</v>
      </c>
      <c r="C105" t="s">
        <v>101</v>
      </c>
      <c r="D105" t="s">
        <v>9</v>
      </c>
      <c r="E105">
        <v>26</v>
      </c>
      <c r="F105" s="1">
        <f>'A1'!XFC105</f>
        <v>44122</v>
      </c>
      <c r="G105" s="1">
        <f t="shared" si="6"/>
        <v>44129</v>
      </c>
      <c r="H105">
        <v>7</v>
      </c>
      <c r="I105" t="s">
        <v>185</v>
      </c>
      <c r="J105" s="2">
        <v>3899</v>
      </c>
      <c r="K105" s="2">
        <v>1400</v>
      </c>
      <c r="L105" s="2">
        <v>34.799999999999997</v>
      </c>
      <c r="M105" s="3">
        <v>1</v>
      </c>
      <c r="N105" s="2">
        <v>325</v>
      </c>
      <c r="O105" s="2">
        <f t="shared" si="7"/>
        <v>5658.8</v>
      </c>
    </row>
    <row r="106" spans="1:15" x14ac:dyDescent="0.3">
      <c r="A106" t="s">
        <v>37</v>
      </c>
      <c r="B106" t="s">
        <v>44</v>
      </c>
      <c r="C106" t="s">
        <v>100</v>
      </c>
      <c r="D106" t="s">
        <v>9</v>
      </c>
      <c r="E106">
        <v>32</v>
      </c>
      <c r="F106" s="1">
        <f>'A1'!XFC106</f>
        <v>44191</v>
      </c>
      <c r="G106" s="1">
        <f t="shared" si="6"/>
        <v>44201</v>
      </c>
      <c r="H106">
        <v>10</v>
      </c>
      <c r="I106" t="s">
        <v>184</v>
      </c>
      <c r="J106" s="2">
        <v>3636</v>
      </c>
      <c r="K106" s="2">
        <v>2000</v>
      </c>
      <c r="L106" s="2">
        <v>65.25</v>
      </c>
      <c r="N106" s="2">
        <v>0</v>
      </c>
      <c r="O106" s="2">
        <f t="shared" si="7"/>
        <v>5701.25</v>
      </c>
    </row>
    <row r="107" spans="1:15" x14ac:dyDescent="0.3">
      <c r="A107" t="s">
        <v>37</v>
      </c>
      <c r="B107" t="s">
        <v>93</v>
      </c>
      <c r="C107" t="s">
        <v>102</v>
      </c>
      <c r="D107" t="s">
        <v>9</v>
      </c>
      <c r="E107">
        <v>45</v>
      </c>
      <c r="F107" s="1">
        <f>'A1'!XFC107</f>
        <v>44130</v>
      </c>
      <c r="G107" s="1">
        <f t="shared" si="6"/>
        <v>44137</v>
      </c>
      <c r="H107">
        <v>7</v>
      </c>
      <c r="I107" t="s">
        <v>187</v>
      </c>
      <c r="J107" s="2">
        <v>4709</v>
      </c>
      <c r="K107" s="2">
        <v>1400</v>
      </c>
      <c r="L107" s="2">
        <v>34.799999999999997</v>
      </c>
      <c r="M107" s="3">
        <v>1</v>
      </c>
      <c r="N107" s="2">
        <v>325</v>
      </c>
      <c r="O107" s="2">
        <f t="shared" si="7"/>
        <v>6468.8</v>
      </c>
    </row>
    <row r="108" spans="1:15" x14ac:dyDescent="0.3">
      <c r="A108" t="s">
        <v>37</v>
      </c>
      <c r="B108" t="s">
        <v>41</v>
      </c>
      <c r="C108" t="s">
        <v>100</v>
      </c>
      <c r="D108" t="s">
        <v>9</v>
      </c>
      <c r="E108">
        <v>46</v>
      </c>
      <c r="F108" s="1">
        <f>'A1'!XFC108</f>
        <v>44140</v>
      </c>
      <c r="G108" s="1">
        <f t="shared" si="6"/>
        <v>44147</v>
      </c>
      <c r="H108">
        <v>7</v>
      </c>
      <c r="I108" t="s">
        <v>184</v>
      </c>
      <c r="J108" s="2">
        <v>2995</v>
      </c>
      <c r="K108" s="2">
        <v>1400</v>
      </c>
      <c r="L108" s="2">
        <v>34.799999999999997</v>
      </c>
      <c r="N108" s="2">
        <v>0</v>
      </c>
      <c r="O108" s="2">
        <f t="shared" si="7"/>
        <v>4429.8</v>
      </c>
    </row>
    <row r="109" spans="1:15" x14ac:dyDescent="0.3">
      <c r="A109" t="s">
        <v>115</v>
      </c>
      <c r="B109" t="s">
        <v>172</v>
      </c>
      <c r="C109" t="s">
        <v>101</v>
      </c>
      <c r="D109" t="s">
        <v>9</v>
      </c>
      <c r="E109">
        <v>33</v>
      </c>
      <c r="F109" s="1">
        <f>'A1'!XFC109</f>
        <v>44138</v>
      </c>
      <c r="G109" s="1">
        <f t="shared" si="6"/>
        <v>44152</v>
      </c>
      <c r="H109">
        <v>14</v>
      </c>
      <c r="I109" t="s">
        <v>186</v>
      </c>
      <c r="J109" s="2">
        <v>5886</v>
      </c>
      <c r="K109" s="2">
        <v>2800</v>
      </c>
      <c r="L109" s="2">
        <v>65.25</v>
      </c>
      <c r="N109" s="2">
        <v>0</v>
      </c>
      <c r="O109" s="2">
        <f t="shared" si="7"/>
        <v>8751.25</v>
      </c>
    </row>
    <row r="110" spans="1:15" x14ac:dyDescent="0.3">
      <c r="A110" t="s">
        <v>115</v>
      </c>
      <c r="B110" t="s">
        <v>116</v>
      </c>
      <c r="C110" t="s">
        <v>101</v>
      </c>
      <c r="D110" t="s">
        <v>9</v>
      </c>
      <c r="E110">
        <v>48</v>
      </c>
      <c r="F110" s="1">
        <f>'A1'!XFC110</f>
        <v>44189</v>
      </c>
      <c r="G110" s="1">
        <f t="shared" si="6"/>
        <v>44203</v>
      </c>
      <c r="H110">
        <v>14</v>
      </c>
      <c r="I110" t="s">
        <v>186</v>
      </c>
      <c r="J110" s="2">
        <v>5886</v>
      </c>
      <c r="K110" s="2">
        <v>2800</v>
      </c>
      <c r="L110" s="2">
        <v>65.25</v>
      </c>
      <c r="N110" s="2">
        <v>0</v>
      </c>
      <c r="O110" s="2">
        <f t="shared" si="7"/>
        <v>8751.25</v>
      </c>
    </row>
    <row r="111" spans="1:15" x14ac:dyDescent="0.3">
      <c r="A111" t="s">
        <v>159</v>
      </c>
      <c r="B111" t="s">
        <v>160</v>
      </c>
      <c r="C111" t="s">
        <v>102</v>
      </c>
      <c r="D111" t="s">
        <v>9</v>
      </c>
      <c r="E111">
        <v>47</v>
      </c>
      <c r="F111" s="1">
        <f>'A1'!XFC111</f>
        <v>44140</v>
      </c>
      <c r="G111" s="1">
        <f t="shared" si="6"/>
        <v>44154</v>
      </c>
      <c r="H111">
        <v>14</v>
      </c>
      <c r="I111" t="s">
        <v>185</v>
      </c>
      <c r="J111" s="2">
        <v>6298</v>
      </c>
      <c r="K111" s="2">
        <v>2800</v>
      </c>
      <c r="L111" s="2">
        <v>65.25</v>
      </c>
      <c r="M111" s="3">
        <v>1</v>
      </c>
      <c r="N111" s="2">
        <v>325</v>
      </c>
      <c r="O111" s="2">
        <f t="shared" si="7"/>
        <v>9488.25</v>
      </c>
    </row>
    <row r="112" spans="1:15" x14ac:dyDescent="0.3">
      <c r="A112" t="s">
        <v>159</v>
      </c>
      <c r="B112" t="s">
        <v>173</v>
      </c>
      <c r="C112" t="s">
        <v>102</v>
      </c>
      <c r="D112" t="s">
        <v>9</v>
      </c>
      <c r="E112">
        <v>40</v>
      </c>
      <c r="F112" s="1">
        <f>'A1'!XFC112</f>
        <v>44136</v>
      </c>
      <c r="G112" s="1">
        <f t="shared" si="6"/>
        <v>44150</v>
      </c>
      <c r="H112">
        <v>14</v>
      </c>
      <c r="I112" t="s">
        <v>184</v>
      </c>
      <c r="J112" s="2">
        <v>4490</v>
      </c>
      <c r="K112" s="2">
        <v>2800</v>
      </c>
      <c r="L112" s="2">
        <v>65.25</v>
      </c>
      <c r="N112" s="2">
        <v>0</v>
      </c>
      <c r="O112" s="2">
        <f t="shared" si="7"/>
        <v>7355.25</v>
      </c>
    </row>
    <row r="113" spans="1:15" x14ac:dyDescent="0.3">
      <c r="A113" t="s">
        <v>21</v>
      </c>
      <c r="B113" t="s">
        <v>51</v>
      </c>
      <c r="C113" t="s">
        <v>102</v>
      </c>
      <c r="D113" t="s">
        <v>9</v>
      </c>
      <c r="E113">
        <v>40</v>
      </c>
      <c r="F113" s="1">
        <f>'A1'!XFC113</f>
        <v>44111</v>
      </c>
      <c r="G113" s="1">
        <f t="shared" si="6"/>
        <v>44118</v>
      </c>
      <c r="H113">
        <v>7</v>
      </c>
      <c r="I113" t="s">
        <v>188</v>
      </c>
      <c r="J113" s="2">
        <v>3490</v>
      </c>
      <c r="K113" s="2">
        <v>1400</v>
      </c>
      <c r="L113" s="2">
        <v>34.799999999999997</v>
      </c>
      <c r="N113" s="2">
        <v>0</v>
      </c>
      <c r="O113" s="2">
        <f t="shared" si="7"/>
        <v>4924.8</v>
      </c>
    </row>
    <row r="114" spans="1:15" x14ac:dyDescent="0.3">
      <c r="A114" t="s">
        <v>21</v>
      </c>
      <c r="B114" t="s">
        <v>82</v>
      </c>
      <c r="C114" t="s">
        <v>102</v>
      </c>
      <c r="D114" t="s">
        <v>9</v>
      </c>
      <c r="E114">
        <v>28</v>
      </c>
      <c r="F114" s="1">
        <f>'A1'!XFC114</f>
        <v>44177</v>
      </c>
      <c r="G114" s="1">
        <f t="shared" si="6"/>
        <v>44192</v>
      </c>
      <c r="H114">
        <v>15</v>
      </c>
      <c r="I114" t="s">
        <v>188</v>
      </c>
      <c r="J114" s="2">
        <v>5764</v>
      </c>
      <c r="K114" s="2">
        <v>3000</v>
      </c>
      <c r="L114" s="2">
        <v>91.25</v>
      </c>
      <c r="N114" s="2">
        <v>0</v>
      </c>
      <c r="O114" s="2">
        <f t="shared" si="7"/>
        <v>8855.25</v>
      </c>
    </row>
    <row r="115" spans="1:15" x14ac:dyDescent="0.3">
      <c r="A115" t="s">
        <v>21</v>
      </c>
      <c r="B115" t="s">
        <v>31</v>
      </c>
      <c r="C115" t="s">
        <v>101</v>
      </c>
      <c r="D115" t="s">
        <v>9</v>
      </c>
      <c r="E115">
        <v>41</v>
      </c>
      <c r="F115" s="1">
        <f>'A1'!XFC115</f>
        <v>44113</v>
      </c>
      <c r="G115" s="1">
        <f t="shared" si="6"/>
        <v>44128</v>
      </c>
      <c r="H115">
        <v>15</v>
      </c>
      <c r="I115" t="s">
        <v>186</v>
      </c>
      <c r="J115" s="2">
        <v>6199</v>
      </c>
      <c r="K115" s="2">
        <v>3000</v>
      </c>
      <c r="L115" s="2">
        <v>91.25</v>
      </c>
      <c r="M115" s="3">
        <v>1</v>
      </c>
      <c r="N115" s="2">
        <v>325</v>
      </c>
      <c r="O115" s="2">
        <f t="shared" si="7"/>
        <v>9615.25</v>
      </c>
    </row>
    <row r="116" spans="1:15" x14ac:dyDescent="0.3">
      <c r="A116" t="s">
        <v>21</v>
      </c>
      <c r="B116" t="s">
        <v>22</v>
      </c>
      <c r="C116" t="s">
        <v>100</v>
      </c>
      <c r="D116" t="s">
        <v>9</v>
      </c>
      <c r="E116">
        <v>28</v>
      </c>
      <c r="F116" s="1">
        <f>'A1'!XFC116</f>
        <v>44139</v>
      </c>
      <c r="G116" s="1">
        <f t="shared" si="6"/>
        <v>44154</v>
      </c>
      <c r="H116">
        <v>15</v>
      </c>
      <c r="I116" t="s">
        <v>187</v>
      </c>
      <c r="J116" s="2">
        <v>8376</v>
      </c>
      <c r="K116" s="2">
        <v>3000</v>
      </c>
      <c r="L116" s="2">
        <v>91.25</v>
      </c>
      <c r="M116" s="3">
        <v>2</v>
      </c>
      <c r="N116" s="2">
        <v>650</v>
      </c>
      <c r="O116" s="2">
        <f t="shared" si="7"/>
        <v>12117.25</v>
      </c>
    </row>
    <row r="117" spans="1:15" x14ac:dyDescent="0.3">
      <c r="A117" t="s">
        <v>21</v>
      </c>
      <c r="B117" t="s">
        <v>47</v>
      </c>
      <c r="C117" t="s">
        <v>100</v>
      </c>
      <c r="D117" t="s">
        <v>9</v>
      </c>
      <c r="E117">
        <v>39</v>
      </c>
      <c r="F117" s="1">
        <f>'A1'!XFC117</f>
        <v>44139</v>
      </c>
      <c r="G117" s="1">
        <f t="shared" si="6"/>
        <v>44146</v>
      </c>
      <c r="H117">
        <v>7</v>
      </c>
      <c r="I117" t="s">
        <v>187</v>
      </c>
      <c r="J117" s="2">
        <v>4709</v>
      </c>
      <c r="K117" s="2">
        <v>1400</v>
      </c>
      <c r="L117" s="2">
        <v>34.799999999999997</v>
      </c>
      <c r="N117" s="2">
        <v>0</v>
      </c>
      <c r="O117" s="2">
        <f t="shared" si="7"/>
        <v>6143.8</v>
      </c>
    </row>
    <row r="118" spans="1:15" x14ac:dyDescent="0.3">
      <c r="A118" t="s">
        <v>21</v>
      </c>
      <c r="B118" t="s">
        <v>33</v>
      </c>
      <c r="C118" t="s">
        <v>100</v>
      </c>
      <c r="D118" t="s">
        <v>9</v>
      </c>
      <c r="E118">
        <v>28</v>
      </c>
      <c r="F118" s="1">
        <f>'A1'!XFC118</f>
        <v>44138</v>
      </c>
      <c r="G118" s="1">
        <f t="shared" si="6"/>
        <v>44153</v>
      </c>
      <c r="H118">
        <v>15</v>
      </c>
      <c r="I118" t="s">
        <v>184</v>
      </c>
      <c r="J118" s="2">
        <v>4704</v>
      </c>
      <c r="K118" s="2">
        <v>3000</v>
      </c>
      <c r="L118" s="2">
        <v>91.25</v>
      </c>
      <c r="N118" s="2">
        <v>0</v>
      </c>
      <c r="O118" s="2">
        <f t="shared" si="7"/>
        <v>7795.25</v>
      </c>
    </row>
    <row r="119" spans="1:15" x14ac:dyDescent="0.3">
      <c r="A119" t="s">
        <v>21</v>
      </c>
      <c r="B119" t="s">
        <v>91</v>
      </c>
      <c r="C119" t="s">
        <v>102</v>
      </c>
      <c r="D119" t="s">
        <v>9</v>
      </c>
      <c r="E119">
        <v>37</v>
      </c>
      <c r="F119" s="1">
        <f>'A1'!XFC119</f>
        <v>44124</v>
      </c>
      <c r="G119" s="1">
        <f t="shared" si="6"/>
        <v>44131</v>
      </c>
      <c r="H119">
        <v>7</v>
      </c>
      <c r="I119" t="s">
        <v>185</v>
      </c>
      <c r="J119" s="2">
        <v>3899</v>
      </c>
      <c r="K119" s="2">
        <v>1400</v>
      </c>
      <c r="L119" s="2">
        <v>34.799999999999997</v>
      </c>
      <c r="N119" s="2">
        <v>0</v>
      </c>
      <c r="O119" s="2">
        <f t="shared" si="7"/>
        <v>5333.8</v>
      </c>
    </row>
    <row r="120" spans="1:15" x14ac:dyDescent="0.3">
      <c r="A120" t="s">
        <v>14</v>
      </c>
      <c r="B120" t="s">
        <v>87</v>
      </c>
      <c r="C120" t="s">
        <v>102</v>
      </c>
      <c r="D120" t="s">
        <v>9</v>
      </c>
      <c r="E120">
        <v>27</v>
      </c>
      <c r="F120" s="1">
        <f>'A1'!XFC120</f>
        <v>44119</v>
      </c>
      <c r="G120" s="1">
        <f t="shared" si="6"/>
        <v>44134</v>
      </c>
      <c r="H120">
        <v>15</v>
      </c>
      <c r="I120" t="s">
        <v>187</v>
      </c>
      <c r="J120" s="2">
        <v>8376</v>
      </c>
      <c r="K120" s="2">
        <v>3000</v>
      </c>
      <c r="L120" s="2">
        <v>91.25</v>
      </c>
      <c r="M120" s="3">
        <v>2</v>
      </c>
      <c r="N120" s="2">
        <v>650</v>
      </c>
      <c r="O120" s="2">
        <f t="shared" si="7"/>
        <v>12117.25</v>
      </c>
    </row>
    <row r="121" spans="1:15" x14ac:dyDescent="0.3">
      <c r="A121" t="s">
        <v>14</v>
      </c>
      <c r="B121" t="s">
        <v>20</v>
      </c>
      <c r="C121" t="s">
        <v>100</v>
      </c>
      <c r="D121" t="s">
        <v>9</v>
      </c>
      <c r="E121">
        <v>26</v>
      </c>
      <c r="F121" s="1">
        <f>'A1'!XFC121</f>
        <v>44185</v>
      </c>
      <c r="G121" s="1">
        <f t="shared" si="6"/>
        <v>44200</v>
      </c>
      <c r="H121">
        <v>15</v>
      </c>
      <c r="I121" t="s">
        <v>186</v>
      </c>
      <c r="J121" s="2">
        <v>6199</v>
      </c>
      <c r="K121" s="2">
        <v>3000</v>
      </c>
      <c r="L121" s="2">
        <v>91.25</v>
      </c>
      <c r="N121" s="2">
        <v>0</v>
      </c>
      <c r="O121" s="2">
        <f t="shared" si="7"/>
        <v>9290.25</v>
      </c>
    </row>
    <row r="122" spans="1:15" x14ac:dyDescent="0.3">
      <c r="A122" t="s">
        <v>14</v>
      </c>
      <c r="B122" t="s">
        <v>66</v>
      </c>
      <c r="C122" t="s">
        <v>102</v>
      </c>
      <c r="D122" t="s">
        <v>9</v>
      </c>
      <c r="E122">
        <v>31</v>
      </c>
      <c r="F122" s="1">
        <f>'A1'!XFC122</f>
        <v>44170</v>
      </c>
      <c r="G122" s="1">
        <f t="shared" si="6"/>
        <v>44177</v>
      </c>
      <c r="H122">
        <v>7</v>
      </c>
      <c r="I122" t="s">
        <v>184</v>
      </c>
      <c r="J122" s="2">
        <v>2995</v>
      </c>
      <c r="K122" s="2">
        <v>1400</v>
      </c>
      <c r="L122" s="2">
        <v>34.799999999999997</v>
      </c>
      <c r="M122" s="3">
        <v>1</v>
      </c>
      <c r="N122" s="2">
        <v>325</v>
      </c>
      <c r="O122" s="2">
        <f t="shared" si="7"/>
        <v>4754.8</v>
      </c>
    </row>
    <row r="123" spans="1:15" x14ac:dyDescent="0.3">
      <c r="A123" t="s">
        <v>14</v>
      </c>
      <c r="B123" t="s">
        <v>52</v>
      </c>
      <c r="C123" t="s">
        <v>102</v>
      </c>
      <c r="D123" t="s">
        <v>9</v>
      </c>
      <c r="E123">
        <v>25</v>
      </c>
      <c r="F123" s="1">
        <f>'A1'!XFC123</f>
        <v>44185</v>
      </c>
      <c r="G123" s="1">
        <f t="shared" si="6"/>
        <v>44200</v>
      </c>
      <c r="H123">
        <v>15</v>
      </c>
      <c r="I123" t="s">
        <v>186</v>
      </c>
      <c r="J123" s="2">
        <v>6199</v>
      </c>
      <c r="K123" s="2">
        <v>3000</v>
      </c>
      <c r="L123" s="2">
        <v>91.25</v>
      </c>
      <c r="N123" s="2">
        <v>0</v>
      </c>
      <c r="O123" s="2">
        <f t="shared" si="7"/>
        <v>9290.25</v>
      </c>
    </row>
    <row r="124" spans="1:15" x14ac:dyDescent="0.3">
      <c r="A124" t="s">
        <v>14</v>
      </c>
      <c r="B124" t="s">
        <v>15</v>
      </c>
      <c r="C124" t="s">
        <v>100</v>
      </c>
      <c r="D124" t="s">
        <v>9</v>
      </c>
      <c r="E124">
        <v>36</v>
      </c>
      <c r="F124" s="1">
        <f>'A1'!XFC124</f>
        <v>44180</v>
      </c>
      <c r="G124" s="1">
        <f t="shared" si="6"/>
        <v>44190</v>
      </c>
      <c r="H124">
        <v>10</v>
      </c>
      <c r="I124" t="s">
        <v>184</v>
      </c>
      <c r="J124" s="2">
        <v>3636</v>
      </c>
      <c r="K124" s="2">
        <v>2000</v>
      </c>
      <c r="L124" s="2">
        <v>65.25</v>
      </c>
      <c r="N124" s="2">
        <v>0</v>
      </c>
      <c r="O124" s="2">
        <f t="shared" si="7"/>
        <v>5701.25</v>
      </c>
    </row>
    <row r="125" spans="1:15" x14ac:dyDescent="0.3">
      <c r="A125" t="s">
        <v>14</v>
      </c>
      <c r="B125" t="s">
        <v>84</v>
      </c>
      <c r="C125" t="s">
        <v>102</v>
      </c>
      <c r="D125" t="s">
        <v>9</v>
      </c>
      <c r="E125">
        <v>38</v>
      </c>
      <c r="F125" s="1">
        <f>'A1'!XFC125</f>
        <v>44136</v>
      </c>
      <c r="G125" s="1">
        <f t="shared" si="6"/>
        <v>44151</v>
      </c>
      <c r="H125">
        <v>15</v>
      </c>
      <c r="I125" t="s">
        <v>184</v>
      </c>
      <c r="J125" s="2">
        <v>4704</v>
      </c>
      <c r="K125" s="2">
        <v>3000</v>
      </c>
      <c r="L125" s="2">
        <v>91.25</v>
      </c>
      <c r="M125" s="3">
        <v>1</v>
      </c>
      <c r="N125" s="2">
        <v>325</v>
      </c>
      <c r="O125" s="2">
        <f t="shared" si="7"/>
        <v>8120.25</v>
      </c>
    </row>
    <row r="126" spans="1:15" x14ac:dyDescent="0.3">
      <c r="A126" t="s">
        <v>14</v>
      </c>
      <c r="B126" t="s">
        <v>95</v>
      </c>
      <c r="C126" t="s">
        <v>102</v>
      </c>
      <c r="D126" t="s">
        <v>9</v>
      </c>
      <c r="E126">
        <v>36</v>
      </c>
      <c r="F126" s="1">
        <f>'A1'!XFC126</f>
        <v>44184</v>
      </c>
      <c r="G126" s="1">
        <f t="shared" si="6"/>
        <v>44191</v>
      </c>
      <c r="H126">
        <v>7</v>
      </c>
      <c r="I126" t="s">
        <v>184</v>
      </c>
      <c r="J126" s="2">
        <v>2995</v>
      </c>
      <c r="K126" s="2">
        <v>1400</v>
      </c>
      <c r="L126" s="2">
        <v>34.799999999999997</v>
      </c>
      <c r="M126" s="3">
        <v>1</v>
      </c>
      <c r="N126" s="2">
        <v>325</v>
      </c>
      <c r="O126" s="2">
        <f t="shared" si="7"/>
        <v>4754.8</v>
      </c>
    </row>
    <row r="127" spans="1:15" x14ac:dyDescent="0.3">
      <c r="A127" t="s">
        <v>14</v>
      </c>
      <c r="B127" t="s">
        <v>34</v>
      </c>
      <c r="C127" t="s">
        <v>100</v>
      </c>
      <c r="D127" t="s">
        <v>9</v>
      </c>
      <c r="E127">
        <v>48</v>
      </c>
      <c r="F127" s="1">
        <f>'A1'!XFC127</f>
        <v>44107</v>
      </c>
      <c r="G127" s="1">
        <f t="shared" si="6"/>
        <v>44114</v>
      </c>
      <c r="H127">
        <v>7</v>
      </c>
      <c r="I127" t="s">
        <v>184</v>
      </c>
      <c r="J127" s="2">
        <v>2995</v>
      </c>
      <c r="K127" s="2">
        <v>1400</v>
      </c>
      <c r="L127" s="2">
        <v>34.799999999999997</v>
      </c>
      <c r="N127" s="2">
        <v>0</v>
      </c>
      <c r="O127" s="2">
        <f t="shared" si="7"/>
        <v>4429.8</v>
      </c>
    </row>
    <row r="128" spans="1:15" x14ac:dyDescent="0.3">
      <c r="A128" t="s">
        <v>14</v>
      </c>
      <c r="B128" t="s">
        <v>94</v>
      </c>
      <c r="C128" t="s">
        <v>101</v>
      </c>
      <c r="D128" t="s">
        <v>9</v>
      </c>
      <c r="E128">
        <v>49</v>
      </c>
      <c r="F128" s="1">
        <f>'A1'!XFC128</f>
        <v>44173</v>
      </c>
      <c r="G128" s="1">
        <f t="shared" si="6"/>
        <v>44180</v>
      </c>
      <c r="H128">
        <v>7</v>
      </c>
      <c r="I128" t="s">
        <v>187</v>
      </c>
      <c r="J128" s="2">
        <v>4709</v>
      </c>
      <c r="K128" s="2">
        <v>1400</v>
      </c>
      <c r="L128" s="2">
        <v>34.799999999999997</v>
      </c>
      <c r="M128" s="3">
        <v>1</v>
      </c>
      <c r="N128" s="2">
        <v>325</v>
      </c>
      <c r="O128" s="2">
        <f t="shared" si="7"/>
        <v>6468.8</v>
      </c>
    </row>
    <row r="129" spans="1:15" x14ac:dyDescent="0.3">
      <c r="A129" t="s">
        <v>110</v>
      </c>
      <c r="B129" t="s">
        <v>111</v>
      </c>
      <c r="C129" t="s">
        <v>102</v>
      </c>
      <c r="D129" t="s">
        <v>6</v>
      </c>
      <c r="E129">
        <v>55</v>
      </c>
      <c r="F129" s="1">
        <f>'A1'!XFC129</f>
        <v>44193</v>
      </c>
      <c r="G129" s="1">
        <f t="shared" si="6"/>
        <v>44214</v>
      </c>
      <c r="H129">
        <v>21</v>
      </c>
      <c r="I129" t="s">
        <v>187</v>
      </c>
      <c r="J129" s="2">
        <v>11127</v>
      </c>
      <c r="K129" s="2">
        <v>4200</v>
      </c>
      <c r="L129" s="2">
        <v>91.25</v>
      </c>
      <c r="N129" s="2">
        <v>0</v>
      </c>
      <c r="O129" s="2">
        <f t="shared" si="7"/>
        <v>15418.25</v>
      </c>
    </row>
    <row r="130" spans="1:15" x14ac:dyDescent="0.3">
      <c r="A130" t="s">
        <v>110</v>
      </c>
      <c r="B130" t="s">
        <v>127</v>
      </c>
      <c r="C130" t="s">
        <v>101</v>
      </c>
      <c r="D130" t="s">
        <v>6</v>
      </c>
      <c r="E130">
        <v>36</v>
      </c>
      <c r="F130" s="1">
        <f>'A1'!XFC130</f>
        <v>44164</v>
      </c>
      <c r="G130" s="1">
        <f t="shared" ref="G130:G132" si="8">F130+H130</f>
        <v>44185</v>
      </c>
      <c r="H130">
        <v>21</v>
      </c>
      <c r="I130" t="s">
        <v>188</v>
      </c>
      <c r="J130" s="2">
        <v>7470</v>
      </c>
      <c r="K130" s="2">
        <v>4200</v>
      </c>
      <c r="L130" s="2">
        <v>91.25</v>
      </c>
      <c r="M130" s="3">
        <v>1</v>
      </c>
      <c r="N130" s="2">
        <v>325</v>
      </c>
      <c r="O130" s="2">
        <f t="shared" ref="O130:O132" si="9">J130+K130+L130+N130</f>
        <v>12086.25</v>
      </c>
    </row>
    <row r="131" spans="1:15" x14ac:dyDescent="0.3">
      <c r="A131" t="s">
        <v>125</v>
      </c>
      <c r="B131" t="s">
        <v>157</v>
      </c>
      <c r="C131" t="s">
        <v>101</v>
      </c>
      <c r="D131" t="s">
        <v>6</v>
      </c>
      <c r="E131">
        <v>31</v>
      </c>
      <c r="F131" s="1">
        <f>'A1'!XFC131</f>
        <v>44178</v>
      </c>
      <c r="G131" s="1">
        <f t="shared" si="8"/>
        <v>44199</v>
      </c>
      <c r="H131">
        <v>21</v>
      </c>
      <c r="I131" t="s">
        <v>185</v>
      </c>
      <c r="J131" s="2">
        <v>8697</v>
      </c>
      <c r="K131" s="2">
        <v>4200</v>
      </c>
      <c r="L131" s="2">
        <v>91.25</v>
      </c>
      <c r="N131" s="2">
        <v>0</v>
      </c>
      <c r="O131" s="2">
        <f t="shared" si="9"/>
        <v>12988.25</v>
      </c>
    </row>
    <row r="132" spans="1:15" x14ac:dyDescent="0.3">
      <c r="A132" t="s">
        <v>125</v>
      </c>
      <c r="B132" t="s">
        <v>126</v>
      </c>
      <c r="C132" t="s">
        <v>102</v>
      </c>
      <c r="D132" t="s">
        <v>6</v>
      </c>
      <c r="E132">
        <v>35</v>
      </c>
      <c r="F132" s="1">
        <f>'A1'!XFC132</f>
        <v>44162</v>
      </c>
      <c r="G132" s="1">
        <f t="shared" si="8"/>
        <v>44183</v>
      </c>
      <c r="H132">
        <v>21</v>
      </c>
      <c r="I132" t="s">
        <v>184</v>
      </c>
      <c r="J132" s="2">
        <v>5985</v>
      </c>
      <c r="K132" s="2">
        <v>4200</v>
      </c>
      <c r="L132" s="2">
        <v>91.25</v>
      </c>
      <c r="M132" s="3">
        <v>2</v>
      </c>
      <c r="N132" s="2">
        <v>650</v>
      </c>
      <c r="O132" s="2">
        <f t="shared" si="9"/>
        <v>10926.25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0AE7-6467-41F2-8D88-D803CBE81989}">
  <dimension ref="XFC1:XFC132"/>
  <sheetViews>
    <sheetView topLeftCell="XEF1" workbookViewId="0">
      <selection activeCell="XFC1" sqref="XFC1:XFC1048576"/>
    </sheetView>
  </sheetViews>
  <sheetFormatPr defaultRowHeight="14.4" x14ac:dyDescent="0.3"/>
  <cols>
    <col min="16383" max="16383" width="13.88671875" hidden="1" customWidth="1"/>
  </cols>
  <sheetData>
    <row r="1" spans="16383:16383" x14ac:dyDescent="0.3">
      <c r="XFC1" s="4" t="s">
        <v>181</v>
      </c>
    </row>
    <row r="2" spans="16383:16383" x14ac:dyDescent="0.3">
      <c r="XFC2" s="1">
        <v>44119</v>
      </c>
    </row>
    <row r="3" spans="16383:16383" x14ac:dyDescent="0.3">
      <c r="XFC3" s="1">
        <v>44149</v>
      </c>
    </row>
    <row r="4" spans="16383:16383" x14ac:dyDescent="0.3">
      <c r="XFC4" s="1">
        <v>44147</v>
      </c>
    </row>
    <row r="5" spans="16383:16383" x14ac:dyDescent="0.3">
      <c r="XFC5" s="1">
        <v>44121</v>
      </c>
    </row>
    <row r="6" spans="16383:16383" x14ac:dyDescent="0.3">
      <c r="XFC6" s="1">
        <v>44116</v>
      </c>
    </row>
    <row r="7" spans="16383:16383" x14ac:dyDescent="0.3">
      <c r="XFC7" s="1">
        <v>44172</v>
      </c>
    </row>
    <row r="8" spans="16383:16383" x14ac:dyDescent="0.3">
      <c r="XFC8" s="1">
        <v>44182</v>
      </c>
    </row>
    <row r="9" spans="16383:16383" x14ac:dyDescent="0.3">
      <c r="XFC9" s="1">
        <v>44132</v>
      </c>
    </row>
    <row r="10" spans="16383:16383" x14ac:dyDescent="0.3">
      <c r="XFC10" s="1">
        <v>44180</v>
      </c>
    </row>
    <row r="11" spans="16383:16383" x14ac:dyDescent="0.3">
      <c r="XFC11" s="1">
        <v>44181</v>
      </c>
    </row>
    <row r="12" spans="16383:16383" x14ac:dyDescent="0.3">
      <c r="XFC12" s="1">
        <v>44187</v>
      </c>
    </row>
    <row r="13" spans="16383:16383" x14ac:dyDescent="0.3">
      <c r="XFC13" s="1">
        <v>44180</v>
      </c>
    </row>
    <row r="14" spans="16383:16383" x14ac:dyDescent="0.3">
      <c r="XFC14" s="1">
        <v>44175</v>
      </c>
    </row>
    <row r="15" spans="16383:16383" x14ac:dyDescent="0.3">
      <c r="XFC15" s="1">
        <v>44125</v>
      </c>
    </row>
    <row r="16" spans="16383:16383" x14ac:dyDescent="0.3">
      <c r="XFC16" s="1">
        <v>44112</v>
      </c>
    </row>
    <row r="17" spans="16383:16383" x14ac:dyDescent="0.3">
      <c r="XFC17" s="1">
        <v>44175</v>
      </c>
    </row>
    <row r="18" spans="16383:16383" x14ac:dyDescent="0.3">
      <c r="XFC18" s="1">
        <v>44130</v>
      </c>
    </row>
    <row r="19" spans="16383:16383" x14ac:dyDescent="0.3">
      <c r="XFC19" s="1">
        <v>44117</v>
      </c>
    </row>
    <row r="20" spans="16383:16383" x14ac:dyDescent="0.3">
      <c r="XFC20" s="1">
        <v>44173</v>
      </c>
    </row>
    <row r="21" spans="16383:16383" x14ac:dyDescent="0.3">
      <c r="XFC21" s="1">
        <v>44169</v>
      </c>
    </row>
    <row r="22" spans="16383:16383" x14ac:dyDescent="0.3">
      <c r="XFC22" s="1">
        <v>44116</v>
      </c>
    </row>
    <row r="23" spans="16383:16383" x14ac:dyDescent="0.3">
      <c r="XFC23" s="1">
        <v>44189</v>
      </c>
    </row>
    <row r="24" spans="16383:16383" x14ac:dyDescent="0.3">
      <c r="XFC24" s="1">
        <v>44131</v>
      </c>
    </row>
    <row r="25" spans="16383:16383" x14ac:dyDescent="0.3">
      <c r="XFC25" s="1">
        <v>44170</v>
      </c>
    </row>
    <row r="26" spans="16383:16383" x14ac:dyDescent="0.3">
      <c r="XFC26" s="1">
        <v>44142</v>
      </c>
    </row>
    <row r="27" spans="16383:16383" x14ac:dyDescent="0.3">
      <c r="XFC27" s="1">
        <v>44113</v>
      </c>
    </row>
    <row r="28" spans="16383:16383" x14ac:dyDescent="0.3">
      <c r="XFC28" s="1">
        <v>44121</v>
      </c>
    </row>
    <row r="29" spans="16383:16383" x14ac:dyDescent="0.3">
      <c r="XFC29" s="1">
        <v>44165</v>
      </c>
    </row>
    <row r="30" spans="16383:16383" x14ac:dyDescent="0.3">
      <c r="XFC30" s="1">
        <v>44171</v>
      </c>
    </row>
    <row r="31" spans="16383:16383" x14ac:dyDescent="0.3">
      <c r="XFC31" s="1">
        <v>44189</v>
      </c>
    </row>
    <row r="32" spans="16383:16383" x14ac:dyDescent="0.3">
      <c r="XFC32" s="1">
        <v>44108</v>
      </c>
    </row>
    <row r="33" spans="16383:16383" x14ac:dyDescent="0.3">
      <c r="XFC33" s="1">
        <v>44176</v>
      </c>
    </row>
    <row r="34" spans="16383:16383" x14ac:dyDescent="0.3">
      <c r="XFC34" s="1">
        <v>44188</v>
      </c>
    </row>
    <row r="35" spans="16383:16383" x14ac:dyDescent="0.3">
      <c r="XFC35" s="1">
        <v>44141</v>
      </c>
    </row>
    <row r="36" spans="16383:16383" x14ac:dyDescent="0.3">
      <c r="XFC36" s="1">
        <v>44189</v>
      </c>
    </row>
    <row r="37" spans="16383:16383" x14ac:dyDescent="0.3">
      <c r="XFC37" s="1">
        <v>44131</v>
      </c>
    </row>
    <row r="38" spans="16383:16383" x14ac:dyDescent="0.3">
      <c r="XFC38" s="1">
        <v>44170</v>
      </c>
    </row>
    <row r="39" spans="16383:16383" x14ac:dyDescent="0.3">
      <c r="XFC39" s="1">
        <v>44127</v>
      </c>
    </row>
    <row r="40" spans="16383:16383" x14ac:dyDescent="0.3">
      <c r="XFC40" s="1">
        <v>44161</v>
      </c>
    </row>
    <row r="41" spans="16383:16383" x14ac:dyDescent="0.3">
      <c r="XFC41" s="1">
        <v>44153</v>
      </c>
    </row>
    <row r="42" spans="16383:16383" x14ac:dyDescent="0.3">
      <c r="XFC42" s="1">
        <v>44155</v>
      </c>
    </row>
    <row r="43" spans="16383:16383" x14ac:dyDescent="0.3">
      <c r="XFC43" s="1">
        <v>44122</v>
      </c>
    </row>
    <row r="44" spans="16383:16383" x14ac:dyDescent="0.3">
      <c r="XFC44" s="1">
        <v>44194</v>
      </c>
    </row>
    <row r="45" spans="16383:16383" x14ac:dyDescent="0.3">
      <c r="XFC45" s="1">
        <v>44111</v>
      </c>
    </row>
    <row r="46" spans="16383:16383" x14ac:dyDescent="0.3">
      <c r="XFC46" s="1">
        <v>44131</v>
      </c>
    </row>
    <row r="47" spans="16383:16383" x14ac:dyDescent="0.3">
      <c r="XFC47" s="1">
        <v>44116</v>
      </c>
    </row>
    <row r="48" spans="16383:16383" x14ac:dyDescent="0.3">
      <c r="XFC48" s="1">
        <v>44186</v>
      </c>
    </row>
    <row r="49" spans="16383:16383" x14ac:dyDescent="0.3">
      <c r="XFC49" s="1">
        <v>44126</v>
      </c>
    </row>
    <row r="50" spans="16383:16383" x14ac:dyDescent="0.3">
      <c r="XFC50" s="1">
        <v>44105</v>
      </c>
    </row>
    <row r="51" spans="16383:16383" x14ac:dyDescent="0.3">
      <c r="XFC51" s="1">
        <v>44125</v>
      </c>
    </row>
    <row r="52" spans="16383:16383" x14ac:dyDescent="0.3">
      <c r="XFC52" s="1">
        <v>44182</v>
      </c>
    </row>
    <row r="53" spans="16383:16383" x14ac:dyDescent="0.3">
      <c r="XFC53" s="1">
        <v>44171</v>
      </c>
    </row>
    <row r="54" spans="16383:16383" x14ac:dyDescent="0.3">
      <c r="XFC54" s="1">
        <v>44134</v>
      </c>
    </row>
    <row r="55" spans="16383:16383" x14ac:dyDescent="0.3">
      <c r="XFC55" s="1">
        <v>44178</v>
      </c>
    </row>
    <row r="56" spans="16383:16383" x14ac:dyDescent="0.3">
      <c r="XFC56" s="1">
        <v>44106</v>
      </c>
    </row>
    <row r="57" spans="16383:16383" x14ac:dyDescent="0.3">
      <c r="XFC57" s="1">
        <v>44130</v>
      </c>
    </row>
    <row r="58" spans="16383:16383" x14ac:dyDescent="0.3">
      <c r="XFC58" s="1">
        <v>44191</v>
      </c>
    </row>
    <row r="59" spans="16383:16383" x14ac:dyDescent="0.3">
      <c r="XFC59" s="1">
        <v>44178</v>
      </c>
    </row>
    <row r="60" spans="16383:16383" x14ac:dyDescent="0.3">
      <c r="XFC60" s="1">
        <v>44174</v>
      </c>
    </row>
    <row r="61" spans="16383:16383" x14ac:dyDescent="0.3">
      <c r="XFC61" s="1">
        <v>44116</v>
      </c>
    </row>
    <row r="62" spans="16383:16383" x14ac:dyDescent="0.3">
      <c r="XFC62" s="1">
        <v>44105</v>
      </c>
    </row>
    <row r="63" spans="16383:16383" x14ac:dyDescent="0.3">
      <c r="XFC63" s="1">
        <v>44183</v>
      </c>
    </row>
    <row r="64" spans="16383:16383" x14ac:dyDescent="0.3">
      <c r="XFC64" s="1">
        <v>44116</v>
      </c>
    </row>
    <row r="65" spans="16383:16383" x14ac:dyDescent="0.3">
      <c r="XFC65" s="1">
        <v>44188</v>
      </c>
    </row>
    <row r="66" spans="16383:16383" x14ac:dyDescent="0.3">
      <c r="XFC66" s="1">
        <v>44167</v>
      </c>
    </row>
    <row r="67" spans="16383:16383" x14ac:dyDescent="0.3">
      <c r="XFC67" s="1">
        <v>44127</v>
      </c>
    </row>
    <row r="68" spans="16383:16383" x14ac:dyDescent="0.3">
      <c r="XFC68" s="1">
        <v>44171</v>
      </c>
    </row>
    <row r="69" spans="16383:16383" x14ac:dyDescent="0.3">
      <c r="XFC69" s="1">
        <v>44143</v>
      </c>
    </row>
    <row r="70" spans="16383:16383" x14ac:dyDescent="0.3">
      <c r="XFC70" s="1">
        <v>44168</v>
      </c>
    </row>
    <row r="71" spans="16383:16383" x14ac:dyDescent="0.3">
      <c r="XFC71" s="1">
        <v>44126</v>
      </c>
    </row>
    <row r="72" spans="16383:16383" x14ac:dyDescent="0.3">
      <c r="XFC72" s="1">
        <v>44156</v>
      </c>
    </row>
    <row r="73" spans="16383:16383" x14ac:dyDescent="0.3">
      <c r="XFC73" s="1">
        <v>44167</v>
      </c>
    </row>
    <row r="74" spans="16383:16383" x14ac:dyDescent="0.3">
      <c r="XFC74" s="1">
        <v>44144</v>
      </c>
    </row>
    <row r="75" spans="16383:16383" x14ac:dyDescent="0.3">
      <c r="XFC75" s="1">
        <v>44172</v>
      </c>
    </row>
    <row r="76" spans="16383:16383" x14ac:dyDescent="0.3">
      <c r="XFC76" s="1">
        <v>44130</v>
      </c>
    </row>
    <row r="77" spans="16383:16383" x14ac:dyDescent="0.3">
      <c r="XFC77" s="1">
        <v>44182</v>
      </c>
    </row>
    <row r="78" spans="16383:16383" x14ac:dyDescent="0.3">
      <c r="XFC78" s="1">
        <v>44138</v>
      </c>
    </row>
    <row r="79" spans="16383:16383" x14ac:dyDescent="0.3">
      <c r="XFC79" s="1">
        <v>44120</v>
      </c>
    </row>
    <row r="80" spans="16383:16383" x14ac:dyDescent="0.3">
      <c r="XFC80" s="1">
        <v>44109</v>
      </c>
    </row>
    <row r="81" spans="16383:16383" x14ac:dyDescent="0.3">
      <c r="XFC81" s="1">
        <v>44159</v>
      </c>
    </row>
    <row r="82" spans="16383:16383" x14ac:dyDescent="0.3">
      <c r="XFC82" s="1">
        <v>44170</v>
      </c>
    </row>
    <row r="83" spans="16383:16383" x14ac:dyDescent="0.3">
      <c r="XFC83" s="1">
        <v>44147</v>
      </c>
    </row>
    <row r="84" spans="16383:16383" x14ac:dyDescent="0.3">
      <c r="XFC84" s="1">
        <v>44177</v>
      </c>
    </row>
    <row r="85" spans="16383:16383" x14ac:dyDescent="0.3">
      <c r="XFC85" s="1">
        <v>44156</v>
      </c>
    </row>
    <row r="86" spans="16383:16383" x14ac:dyDescent="0.3">
      <c r="XFC86" s="1">
        <v>44159</v>
      </c>
    </row>
    <row r="87" spans="16383:16383" x14ac:dyDescent="0.3">
      <c r="XFC87" s="1">
        <v>44166</v>
      </c>
    </row>
    <row r="88" spans="16383:16383" x14ac:dyDescent="0.3">
      <c r="XFC88" s="1">
        <v>44156</v>
      </c>
    </row>
    <row r="89" spans="16383:16383" x14ac:dyDescent="0.3">
      <c r="XFC89" s="1">
        <v>44176</v>
      </c>
    </row>
    <row r="90" spans="16383:16383" x14ac:dyDescent="0.3">
      <c r="XFC90" s="1">
        <v>44112</v>
      </c>
    </row>
    <row r="91" spans="16383:16383" x14ac:dyDescent="0.3">
      <c r="XFC91" s="1">
        <v>44194</v>
      </c>
    </row>
    <row r="92" spans="16383:16383" x14ac:dyDescent="0.3">
      <c r="XFC92" s="1">
        <v>44149</v>
      </c>
    </row>
    <row r="93" spans="16383:16383" x14ac:dyDescent="0.3">
      <c r="XFC93" s="1">
        <v>44168</v>
      </c>
    </row>
    <row r="94" spans="16383:16383" x14ac:dyDescent="0.3">
      <c r="XFC94" s="1">
        <v>44192</v>
      </c>
    </row>
    <row r="95" spans="16383:16383" x14ac:dyDescent="0.3">
      <c r="XFC95" s="1">
        <v>44173</v>
      </c>
    </row>
    <row r="96" spans="16383:16383" x14ac:dyDescent="0.3">
      <c r="XFC96" s="1">
        <v>44192</v>
      </c>
    </row>
    <row r="97" spans="16383:16383" x14ac:dyDescent="0.3">
      <c r="XFC97" s="1">
        <v>44189</v>
      </c>
    </row>
    <row r="98" spans="16383:16383" x14ac:dyDescent="0.3">
      <c r="XFC98" s="1">
        <v>44137</v>
      </c>
    </row>
    <row r="99" spans="16383:16383" x14ac:dyDescent="0.3">
      <c r="XFC99" s="1">
        <v>44143</v>
      </c>
    </row>
    <row r="100" spans="16383:16383" x14ac:dyDescent="0.3">
      <c r="XFC100" s="1">
        <v>44154</v>
      </c>
    </row>
    <row r="101" spans="16383:16383" x14ac:dyDescent="0.3">
      <c r="XFC101" s="1">
        <v>44142</v>
      </c>
    </row>
    <row r="102" spans="16383:16383" x14ac:dyDescent="0.3">
      <c r="XFC102" s="1">
        <v>44116</v>
      </c>
    </row>
    <row r="103" spans="16383:16383" x14ac:dyDescent="0.3">
      <c r="XFC103" s="1">
        <v>44184</v>
      </c>
    </row>
    <row r="104" spans="16383:16383" x14ac:dyDescent="0.3">
      <c r="XFC104" s="1">
        <v>44133</v>
      </c>
    </row>
    <row r="105" spans="16383:16383" x14ac:dyDescent="0.3">
      <c r="XFC105" s="1">
        <v>44122</v>
      </c>
    </row>
    <row r="106" spans="16383:16383" x14ac:dyDescent="0.3">
      <c r="XFC106" s="1">
        <v>44191</v>
      </c>
    </row>
    <row r="107" spans="16383:16383" x14ac:dyDescent="0.3">
      <c r="XFC107" s="1">
        <v>44130</v>
      </c>
    </row>
    <row r="108" spans="16383:16383" x14ac:dyDescent="0.3">
      <c r="XFC108" s="1">
        <v>44140</v>
      </c>
    </row>
    <row r="109" spans="16383:16383" x14ac:dyDescent="0.3">
      <c r="XFC109" s="1">
        <v>44138</v>
      </c>
    </row>
    <row r="110" spans="16383:16383" x14ac:dyDescent="0.3">
      <c r="XFC110" s="1">
        <v>44189</v>
      </c>
    </row>
    <row r="111" spans="16383:16383" x14ac:dyDescent="0.3">
      <c r="XFC111" s="1">
        <v>44140</v>
      </c>
    </row>
    <row r="112" spans="16383:16383" x14ac:dyDescent="0.3">
      <c r="XFC112" s="1">
        <v>44136</v>
      </c>
    </row>
    <row r="113" spans="16383:16383" x14ac:dyDescent="0.3">
      <c r="XFC113" s="1">
        <v>44111</v>
      </c>
    </row>
    <row r="114" spans="16383:16383" x14ac:dyDescent="0.3">
      <c r="XFC114" s="1">
        <v>44177</v>
      </c>
    </row>
    <row r="115" spans="16383:16383" x14ac:dyDescent="0.3">
      <c r="XFC115" s="1">
        <v>44113</v>
      </c>
    </row>
    <row r="116" spans="16383:16383" x14ac:dyDescent="0.3">
      <c r="XFC116" s="1">
        <v>44139</v>
      </c>
    </row>
    <row r="117" spans="16383:16383" x14ac:dyDescent="0.3">
      <c r="XFC117" s="1">
        <v>44139</v>
      </c>
    </row>
    <row r="118" spans="16383:16383" x14ac:dyDescent="0.3">
      <c r="XFC118" s="1">
        <v>44138</v>
      </c>
    </row>
    <row r="119" spans="16383:16383" x14ac:dyDescent="0.3">
      <c r="XFC119" s="1">
        <v>44124</v>
      </c>
    </row>
    <row r="120" spans="16383:16383" x14ac:dyDescent="0.3">
      <c r="XFC120" s="1">
        <v>44119</v>
      </c>
    </row>
    <row r="121" spans="16383:16383" x14ac:dyDescent="0.3">
      <c r="XFC121" s="1">
        <v>44185</v>
      </c>
    </row>
    <row r="122" spans="16383:16383" x14ac:dyDescent="0.3">
      <c r="XFC122" s="1">
        <v>44170</v>
      </c>
    </row>
    <row r="123" spans="16383:16383" x14ac:dyDescent="0.3">
      <c r="XFC123" s="1">
        <v>44185</v>
      </c>
    </row>
    <row r="124" spans="16383:16383" x14ac:dyDescent="0.3">
      <c r="XFC124" s="1">
        <v>44180</v>
      </c>
    </row>
    <row r="125" spans="16383:16383" x14ac:dyDescent="0.3">
      <c r="XFC125" s="1">
        <v>44136</v>
      </c>
    </row>
    <row r="126" spans="16383:16383" x14ac:dyDescent="0.3">
      <c r="XFC126" s="1">
        <v>44184</v>
      </c>
    </row>
    <row r="127" spans="16383:16383" x14ac:dyDescent="0.3">
      <c r="XFC127" s="1">
        <v>44107</v>
      </c>
    </row>
    <row r="128" spans="16383:16383" x14ac:dyDescent="0.3">
      <c r="XFC128" s="1">
        <v>44173</v>
      </c>
    </row>
    <row r="129" spans="16383:16383" x14ac:dyDescent="0.3">
      <c r="XFC129" s="1">
        <v>44193</v>
      </c>
    </row>
    <row r="130" spans="16383:16383" x14ac:dyDescent="0.3">
      <c r="XFC130" s="1">
        <v>44164</v>
      </c>
    </row>
    <row r="131" spans="16383:16383" x14ac:dyDescent="0.3">
      <c r="XFC131" s="1">
        <v>44178</v>
      </c>
    </row>
    <row r="132" spans="16383:16383" x14ac:dyDescent="0.3">
      <c r="XFC132" s="1">
        <v>44162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Dane 1</vt:lpstr>
      <vt:lpstr>Dane 2</vt:lpstr>
      <vt:lpstr>A1</vt:lpstr>
      <vt:lpstr>Podróżni</vt:lpstr>
    </vt:vector>
  </TitlesOfParts>
  <Company>WSB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Seroczyńska</dc:creator>
  <cp:lastModifiedBy>atomczak</cp:lastModifiedBy>
  <dcterms:created xsi:type="dcterms:W3CDTF">2014-04-11T19:11:40Z</dcterms:created>
  <dcterms:modified xsi:type="dcterms:W3CDTF">2020-05-15T09:25:18Z</dcterms:modified>
</cp:coreProperties>
</file>