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 Seroczyńska\OneDrive\Pulpit\TI - Zarzdzanie - Aktualizacja\Quiz cząstkowy 5\"/>
    </mc:Choice>
  </mc:AlternateContent>
  <xr:revisionPtr revIDLastSave="0" documentId="13_ncr:1_{B956B4EE-E22B-4A5F-A86D-51160359789F}" xr6:coauthVersionLast="36" xr6:coauthVersionMax="36" xr10:uidLastSave="{00000000-0000-0000-0000-000000000000}"/>
  <bookViews>
    <workbookView xWindow="0" yWindow="0" windowWidth="28800" windowHeight="12225" xr2:uid="{97F2EC8A-EB7D-436E-A2FA-6914DBF39231}"/>
  </bookViews>
  <sheets>
    <sheet name="Zestawienie 1" sheetId="1" r:id="rId1"/>
    <sheet name="Zestawienie 2" sheetId="2" r:id="rId2"/>
    <sheet name="Zestawienie 3" sheetId="3" r:id="rId3"/>
    <sheet name="Zestawienie 4" sheetId="5" r:id="rId4"/>
  </sheets>
  <definedNames>
    <definedName name="_xlnm._FilterDatabase" localSheetId="0" hidden="1">'Zestawienie 1'!$A$6:$J$6</definedName>
    <definedName name="_xlnm._FilterDatabase" localSheetId="1" hidden="1">'Zestawienie 2'!$A$6:$J$6</definedName>
    <definedName name="_xlnm._FilterDatabase" localSheetId="2" hidden="1">'Zestawienie 3'!$A$6:$J$6</definedName>
    <definedName name="_xlnm._FilterDatabase" localSheetId="3" hidden="1">'Zestawienie 4'!$A$6:$J$6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5" l="1"/>
  <c r="H1" i="5"/>
  <c r="K1" i="5"/>
  <c r="E1" i="5"/>
  <c r="J1" i="5" l="1"/>
  <c r="I1" i="2"/>
  <c r="J1" i="3" l="1"/>
  <c r="J1" i="2"/>
  <c r="H1" i="3"/>
  <c r="E1" i="3"/>
  <c r="K1" i="3"/>
  <c r="I1" i="3"/>
  <c r="E1" i="2"/>
  <c r="J1" i="1" l="1"/>
  <c r="E1" i="1"/>
  <c r="H1" i="2"/>
  <c r="I1" i="1"/>
  <c r="K1" i="2"/>
  <c r="K1" i="1"/>
  <c r="H1" i="1"/>
</calcChain>
</file>

<file path=xl/sharedStrings.xml><?xml version="1.0" encoding="utf-8"?>
<sst xmlns="http://schemas.openxmlformats.org/spreadsheetml/2006/main" count="3706" uniqueCount="126">
  <si>
    <t>Nazwisko</t>
  </si>
  <si>
    <t>Imię</t>
  </si>
  <si>
    <t xml:space="preserve">Kowalski </t>
  </si>
  <si>
    <t>Jan</t>
  </si>
  <si>
    <t>Owczarski</t>
  </si>
  <si>
    <t>Gwidon</t>
  </si>
  <si>
    <t>Kokoszewska</t>
  </si>
  <si>
    <t>Paulina</t>
  </si>
  <si>
    <t>Kwiatkowski</t>
  </si>
  <si>
    <t>Zygmunt</t>
  </si>
  <si>
    <t>Chruszczynski</t>
  </si>
  <si>
    <t>Michal</t>
  </si>
  <si>
    <t>Kowalski</t>
  </si>
  <si>
    <t>Zenon</t>
  </si>
  <si>
    <t>Marciniak</t>
  </si>
  <si>
    <t>Julia</t>
  </si>
  <si>
    <t>Paluszak</t>
  </si>
  <si>
    <t>Sylwia</t>
  </si>
  <si>
    <t>Zasada</t>
  </si>
  <si>
    <t>Sobieslaw</t>
  </si>
  <si>
    <t>Jackowski</t>
  </si>
  <si>
    <t>Jacek</t>
  </si>
  <si>
    <t>Augustyniak</t>
  </si>
  <si>
    <t>Zofia</t>
  </si>
  <si>
    <t>Zbigniew</t>
  </si>
  <si>
    <t>Broniarek</t>
  </si>
  <si>
    <t>Pasikonik</t>
  </si>
  <si>
    <t>Bursztyn</t>
  </si>
  <si>
    <t>Jozef</t>
  </si>
  <si>
    <t>Skowronski</t>
  </si>
  <si>
    <t>Maciej</t>
  </si>
  <si>
    <t>Skoczylas</t>
  </si>
  <si>
    <t>Zdzislaw</t>
  </si>
  <si>
    <t>Budych</t>
  </si>
  <si>
    <t>Roman</t>
  </si>
  <si>
    <t>Kaczmarek</t>
  </si>
  <si>
    <t>Jadwiga</t>
  </si>
  <si>
    <t>Filomenowicz</t>
  </si>
  <si>
    <t>Kamila</t>
  </si>
  <si>
    <t>Kluczynski</t>
  </si>
  <si>
    <t>Nowak</t>
  </si>
  <si>
    <t>Witold</t>
  </si>
  <si>
    <t>Kwasniewska</t>
  </si>
  <si>
    <t>Jolanta</t>
  </si>
  <si>
    <t>Bialek</t>
  </si>
  <si>
    <t>Robert</t>
  </si>
  <si>
    <t>Kotkowska</t>
  </si>
  <si>
    <t>Monika</t>
  </si>
  <si>
    <t>Mazurek</t>
  </si>
  <si>
    <t>Krzysztof</t>
  </si>
  <si>
    <t>Niezgula</t>
  </si>
  <si>
    <t>Agnieszka</t>
  </si>
  <si>
    <t>Jaskiewicz</t>
  </si>
  <si>
    <t>Kazimierz</t>
  </si>
  <si>
    <t>Walasiak</t>
  </si>
  <si>
    <t>Norbert</t>
  </si>
  <si>
    <t>Szabatin</t>
  </si>
  <si>
    <t>Jerzy</t>
  </si>
  <si>
    <t>Kwieciszewski</t>
  </si>
  <si>
    <t>Gustaw</t>
  </si>
  <si>
    <t>Wojcicka</t>
  </si>
  <si>
    <t>Anna</t>
  </si>
  <si>
    <t>Mackowiak</t>
  </si>
  <si>
    <t>Grzegorz</t>
  </si>
  <si>
    <t>Jozwiak</t>
  </si>
  <si>
    <t>Janina</t>
  </si>
  <si>
    <t>Rybarczyk</t>
  </si>
  <si>
    <t>Miller</t>
  </si>
  <si>
    <t>Andrzej</t>
  </si>
  <si>
    <t>Biedrzynski</t>
  </si>
  <si>
    <t>Marcin</t>
  </si>
  <si>
    <t>Pietrzak</t>
  </si>
  <si>
    <t>Daria</t>
  </si>
  <si>
    <t>Janiak</t>
  </si>
  <si>
    <t>Cezary</t>
  </si>
  <si>
    <t>Wista</t>
  </si>
  <si>
    <t>Skowronska</t>
  </si>
  <si>
    <t>Krystyna</t>
  </si>
  <si>
    <t>Debski</t>
  </si>
  <si>
    <t>Tomaszewska</t>
  </si>
  <si>
    <t>Smogor</t>
  </si>
  <si>
    <t>Krzyzanowska</t>
  </si>
  <si>
    <t>Samozwaniec</t>
  </si>
  <si>
    <t>Magdalena</t>
  </si>
  <si>
    <t>Libera</t>
  </si>
  <si>
    <t>Antonina</t>
  </si>
  <si>
    <t>Marceli</t>
  </si>
  <si>
    <t>Premia</t>
  </si>
  <si>
    <t>Pensja podstawowa
w euro</t>
  </si>
  <si>
    <t>Liczba dzieci</t>
  </si>
  <si>
    <t>Prezent świąteczny</t>
  </si>
  <si>
    <t>Liczby kontrolne:</t>
  </si>
  <si>
    <t>kurs euro</t>
  </si>
  <si>
    <t>Pensja podstawowa
we frankach szwajcarskich</t>
  </si>
  <si>
    <t>kurs franka szwajcarskiego</t>
  </si>
  <si>
    <t>Pensja
podstawowa
w złotych</t>
  </si>
  <si>
    <t>Pensja
podstawowa
w euro</t>
  </si>
  <si>
    <t>Liczba członków rodziny</t>
  </si>
  <si>
    <t>nie</t>
  </si>
  <si>
    <t>tak</t>
  </si>
  <si>
    <t>Czy przysługuje premia?</t>
  </si>
  <si>
    <t>Dodatek noworoczny</t>
  </si>
  <si>
    <t>nie więcej niż 4000 zł</t>
  </si>
  <si>
    <t>powyżej 4000 zł</t>
  </si>
  <si>
    <t>co najmniej  4 osoby</t>
  </si>
  <si>
    <t>mniej niż 4 osoby</t>
  </si>
  <si>
    <t>1 zł = 100 groszy</t>
  </si>
  <si>
    <t>Podwyżka</t>
  </si>
  <si>
    <r>
      <t xml:space="preserve">1 </t>
    </r>
    <r>
      <rPr>
        <sz val="11"/>
        <color theme="1"/>
        <rFont val="Calibri"/>
        <family val="2"/>
        <charset val="238"/>
      </rPr>
      <t>€</t>
    </r>
    <r>
      <rPr>
        <sz val="11"/>
        <color theme="1"/>
        <rFont val="Calibri"/>
        <family val="2"/>
        <charset val="238"/>
        <scheme val="minor"/>
      </rPr>
      <t xml:space="preserve"> = 100 centów</t>
    </r>
  </si>
  <si>
    <t>nie więcej niż 10%</t>
  </si>
  <si>
    <t>Pensja</t>
  </si>
  <si>
    <t>Ile premii?</t>
  </si>
  <si>
    <t>Ile euro?</t>
  </si>
  <si>
    <t>Pensja podstawowa
we frankach szwajcarskich zaokrąglona do …</t>
  </si>
  <si>
    <t>Pensja podstawowa 
we frankach szwajcarskich w zaokrągleniu do…</t>
  </si>
  <si>
    <t>Pensja podstawowa
w euro 
zaokrąglona do …</t>
  </si>
  <si>
    <t>Pensja
podstawowa
w dolarach</t>
  </si>
  <si>
    <t>kurs dolara</t>
  </si>
  <si>
    <t>+</t>
  </si>
  <si>
    <t>Liczba projektów</t>
  </si>
  <si>
    <t>Dodatek projektowy</t>
  </si>
  <si>
    <t>Okulary</t>
  </si>
  <si>
    <t>Dofinansowanie okularów</t>
  </si>
  <si>
    <t xml:space="preserve">co najmniej  5 projektów </t>
  </si>
  <si>
    <t>Lider/członek projektu</t>
  </si>
  <si>
    <t>mniej niż 5 projektów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</si>
</sst>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.00\ [$zł-415]_-;\-* #,##0.00\ [$zł-415]_-;_-* &quot;-&quot;??\ [$zł-415]_-;_-@_-"/>
    <numFmt numFmtId="165" formatCode="_-[$€-2]\ * #,##0.00_-;\-[$€-2]\ * #,##0.00_-;_-[$€-2]\ * &quot;-&quot;??_-;_-@_-"/>
    <numFmt numFmtId="166" formatCode="_-* #,##0.00\ [$CHF-100C]_-;\-* #,##0.00\ [$CHF-100C]_-;_-* &quot;-&quot;??\ [$CHF-100C]_-;_-@_-"/>
    <numFmt numFmtId="167" formatCode="_-[$€-2]\ * #,##0.0000_-;\-[$€-2]\ * #,##0.0000_-;_-[$€-2]\ * &quot;-&quot;??_-;_-@_-"/>
    <numFmt numFmtId="168" formatCode="_-* #,##0.0000\ &quot;zł&quot;_-;\-* #,##0.0000\ &quot;zł&quot;_-;_-* &quot;-&quot;??\ &quot;zł&quot;_-;_-@_-"/>
    <numFmt numFmtId="169" formatCode="_-* #,##0.0000\ [$CHF-100C]_-;\-* #,##0.0000\ [$CHF-100C]_-;_-* &quot;-&quot;??\ [$CHF-100C]_-;_-@_-"/>
    <numFmt numFmtId="170" formatCode="_-* #,##0.00\ [$€-1]_-;\-* #,##0.00\ [$€-1]_-;_-* &quot;-&quot;??\ [$€-1]_-;_-@_-"/>
    <numFmt numFmtId="171" formatCode="_-* #,##0.00000\ [$€-1]_-;\-* #,##0.00000\ [$€-1]_-;_-* &quot;-&quot;??\ [$€-1]_-;_-@_-"/>
    <numFmt numFmtId="172" formatCode="_-* #,##0\ [$€-1]_-;\-* #,##0\ [$€-1]_-;_-* &quot;-&quot;??\ [$€-1]_-;_-@_-"/>
    <numFmt numFmtId="173" formatCode="_-* #,##0\ [$CHF-100C]_-;\-* #,##0\ [$CHF-100C]_-;_-* &quot;-&quot;??\ [$CHF-100C]_-;_-@_-"/>
    <numFmt numFmtId="174" formatCode="[$$-1009]#,##0.00;\-[$$-1009]#,##0.00"/>
    <numFmt numFmtId="175" formatCode="[$$-409]#,##0.00_ ;\-[$$-409]#,##0.00\ 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499984740745262"/>
      <name val="Calibri"/>
      <family val="2"/>
      <charset val="238"/>
      <scheme val="minor"/>
    </font>
    <font>
      <b/>
      <sz val="11"/>
      <color theme="5" tint="-0.499984740745262"/>
      <name val="Calibri"/>
      <family val="2"/>
      <charset val="238"/>
      <scheme val="minor"/>
    </font>
    <font>
      <b/>
      <sz val="11"/>
      <color theme="8" tint="-0.499984740745262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0" fillId="0" borderId="0" xfId="0" applyNumberFormat="1"/>
    <xf numFmtId="9" fontId="0" fillId="0" borderId="0" xfId="0" applyNumberFormat="1"/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9" fontId="0" fillId="0" borderId="0" xfId="0" applyNumberFormat="1"/>
    <xf numFmtId="166" fontId="0" fillId="0" borderId="0" xfId="1" applyNumberFormat="1" applyFont="1"/>
    <xf numFmtId="2" fontId="3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3" fontId="0" fillId="0" borderId="0" xfId="1" applyNumberFormat="1" applyFont="1"/>
    <xf numFmtId="44" fontId="0" fillId="0" borderId="0" xfId="0" applyNumberFormat="1"/>
    <xf numFmtId="170" fontId="0" fillId="0" borderId="0" xfId="0" applyNumberFormat="1"/>
    <xf numFmtId="171" fontId="0" fillId="0" borderId="0" xfId="0" applyNumberFormat="1"/>
    <xf numFmtId="170" fontId="0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44" fontId="0" fillId="0" borderId="8" xfId="1" applyFont="1" applyBorder="1"/>
    <xf numFmtId="172" fontId="0" fillId="0" borderId="6" xfId="1" applyNumberFormat="1" applyFont="1" applyBorder="1" applyAlignment="1">
      <alignment horizontal="center" vertical="center"/>
    </xf>
    <xf numFmtId="173" fontId="0" fillId="0" borderId="8" xfId="1" applyNumberFormat="1" applyFont="1" applyBorder="1" applyAlignment="1">
      <alignment horizontal="center" vertical="center"/>
    </xf>
    <xf numFmtId="170" fontId="0" fillId="0" borderId="6" xfId="0" applyNumberFormat="1" applyBorder="1"/>
    <xf numFmtId="164" fontId="0" fillId="0" borderId="8" xfId="0" applyNumberFormat="1" applyBorder="1"/>
    <xf numFmtId="9" fontId="0" fillId="0" borderId="6" xfId="0" applyNumberFormat="1" applyBorder="1"/>
    <xf numFmtId="9" fontId="0" fillId="0" borderId="8" xfId="0" applyNumberFormat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174" fontId="0" fillId="0" borderId="6" xfId="0" applyNumberFormat="1" applyBorder="1"/>
    <xf numFmtId="175" fontId="0" fillId="0" borderId="0" xfId="0" applyNumberFormat="1"/>
    <xf numFmtId="175" fontId="0" fillId="0" borderId="0" xfId="1" applyNumberFormat="1" applyFont="1"/>
    <xf numFmtId="43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7DF-DAA0-4F3E-8BEA-C6DBEC0F228D}">
  <sheetPr>
    <tabColor theme="9" tint="0.79998168889431442"/>
  </sheetPr>
  <dimension ref="A1:N390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10.7109375" bestFit="1" customWidth="1"/>
    <col min="3" max="3" width="17.140625" style="2" customWidth="1"/>
    <col min="4" max="4" width="24.7109375" bestFit="1" customWidth="1"/>
    <col min="5" max="5" width="16.140625" style="6" customWidth="1"/>
    <col min="6" max="7" width="12.5703125" customWidth="1"/>
    <col min="8" max="8" width="19.28515625" customWidth="1"/>
    <col min="9" max="9" width="17.5703125" customWidth="1"/>
    <col min="10" max="10" width="28.140625" customWidth="1"/>
    <col min="11" max="11" width="17.42578125" customWidth="1"/>
    <col min="12" max="12" width="14.5703125" customWidth="1"/>
    <col min="13" max="13" width="15.42578125" bestFit="1" customWidth="1"/>
    <col min="14" max="14" width="9.42578125" bestFit="1" customWidth="1"/>
  </cols>
  <sheetData>
    <row r="1" spans="1:14" s="14" customFormat="1" x14ac:dyDescent="0.25">
      <c r="A1" s="11" t="s">
        <v>91</v>
      </c>
      <c r="B1" s="11"/>
      <c r="C1" s="12"/>
      <c r="D1" s="11"/>
      <c r="E1" s="13">
        <f ca="1">IF(E7="",0,IF(_xlfn.ISFORMULA(E7),IF(FIND("$3",_xlfn.FORMULATEXT(E7))&lt;&gt;0,IF(FIND("C7",_xlfn.FORMULATEXT(E7))&lt;&gt;0,IF(ROUND(ROUND(SUM(E7:E388),2)-ROUNDDOWN(SUM(E7:E388),0),2)=0.77,(ROUND(SUM(E7:E388),2)-FLOOR(SUM(E7:E388),1))*100,44),40),21),15))</f>
        <v>0</v>
      </c>
      <c r="F1" s="13"/>
      <c r="G1" s="13"/>
      <c r="H1" s="13">
        <f ca="1">IF(H7="",0,IF(_xlfn.ISFORMULA(H7),IF(FIND("F7",_xlfn.FORMULATEXT(H7))&lt;&gt;0,IF(FIND("C7",_xlfn.FORMULATEXT(H7))&lt;&gt;0,IF(ROUND(ROUND(SUM(H7:H388),2)-ROUNDDOWN(SUM(H7:H388),0),2)&lt;&gt;0.43,15,(ROUND(SUM(H7:H388),2)-ROUNDDOWN(SUM(H7:H388),0))*1000),40),21),15))</f>
        <v>0</v>
      </c>
      <c r="I1" s="11">
        <f ca="1">IF(I7="",0,IF(_xlfn.ISFORMULA(I7),IF(MID(_xlfn.FORMULATEXT(I7),3,1)="e",IF(I7="tak",IF(I9="nie",IF((COUNTIF(I7:I388,"tak")-38)/3=50,COUNTIF(I7:I388,"tak")/2),(COUNTIF(I7:I388,"tak")-8)/5),(COUNTIF(I7:I388,"tak")-8)/20),COUNTIF(I7:I388,"tak")/10),(COUNTIF(I7:I388,"tak")+1)/3))</f>
        <v>0</v>
      </c>
      <c r="J1" s="17">
        <f>IF(J7="",0,ROUND(AVERAGE(J7:J388),2))</f>
        <v>0</v>
      </c>
      <c r="K1" s="11">
        <f ca="1">IF(K7="",0,IF(_xlfn.ISFORMULA(K7),IF(MID(_xlfn.FORMULATEXT(K7),3,1)="e",IF(FIND("$3",_xlfn.FORMULATEXT(K7))&lt;&gt;0,IF(FIND("$4",_xlfn.FORMULATEXT(K7))&lt;&gt;0,IF(ROUND(AVERAGE(K7:K388),0)-1=3100,ROUND(AVERAGE(K7:K388),0),ROUND(MIN(K7:K388),0)),ROUND(MAX(K7:K388),0)),ROUND(MIN(K7:K388),0)-10),1125),39))</f>
        <v>0</v>
      </c>
      <c r="L1" s="11"/>
    </row>
    <row r="2" spans="1:14" ht="15.75" thickBot="1" x14ac:dyDescent="0.3">
      <c r="A2" s="1"/>
    </row>
    <row r="3" spans="1:14" x14ac:dyDescent="0.25">
      <c r="D3" s="37" t="s">
        <v>92</v>
      </c>
      <c r="E3" s="38">
        <v>4.4362680599999997</v>
      </c>
      <c r="H3" s="37" t="s">
        <v>102</v>
      </c>
      <c r="I3" s="45">
        <v>0.75</v>
      </c>
      <c r="K3" s="3"/>
    </row>
    <row r="4" spans="1:14" ht="15.75" thickBot="1" x14ac:dyDescent="0.3">
      <c r="D4" s="39" t="s">
        <v>94</v>
      </c>
      <c r="E4" s="40">
        <v>4.0825609900000002</v>
      </c>
      <c r="H4" s="39" t="s">
        <v>103</v>
      </c>
      <c r="I4" s="46">
        <v>0.4</v>
      </c>
      <c r="K4" s="3"/>
      <c r="N4" s="7"/>
    </row>
    <row r="6" spans="1:14" ht="45" x14ac:dyDescent="0.25">
      <c r="A6" s="20" t="s">
        <v>0</v>
      </c>
      <c r="B6" s="20" t="s">
        <v>1</v>
      </c>
      <c r="C6" s="21" t="s">
        <v>95</v>
      </c>
      <c r="D6" s="22" t="s">
        <v>93</v>
      </c>
      <c r="E6" s="22" t="s">
        <v>110</v>
      </c>
      <c r="F6" s="20" t="s">
        <v>111</v>
      </c>
      <c r="G6" s="20" t="s">
        <v>89</v>
      </c>
      <c r="H6" s="20" t="s">
        <v>87</v>
      </c>
      <c r="I6" s="20" t="s">
        <v>90</v>
      </c>
      <c r="J6" s="20" t="s">
        <v>113</v>
      </c>
      <c r="K6" s="29" t="s">
        <v>101</v>
      </c>
    </row>
    <row r="7" spans="1:14" x14ac:dyDescent="0.25">
      <c r="A7" t="s">
        <v>42</v>
      </c>
      <c r="B7" t="s">
        <v>43</v>
      </c>
      <c r="C7" s="4">
        <v>2800</v>
      </c>
      <c r="D7" s="15">
        <v>685.84400988948846</v>
      </c>
      <c r="E7" s="30"/>
      <c r="F7" s="3">
        <v>0.1</v>
      </c>
      <c r="G7">
        <v>1</v>
      </c>
      <c r="H7" s="5"/>
      <c r="I7" s="5"/>
      <c r="J7" s="16"/>
      <c r="K7" s="5"/>
      <c r="L7" s="31"/>
      <c r="M7" s="8"/>
      <c r="N7" s="6"/>
    </row>
    <row r="8" spans="1:14" x14ac:dyDescent="0.25">
      <c r="A8" t="s">
        <v>79</v>
      </c>
      <c r="B8" t="s">
        <v>47</v>
      </c>
      <c r="C8" s="4">
        <v>4100</v>
      </c>
      <c r="D8" s="15">
        <v>1004.2715859096081</v>
      </c>
      <c r="E8" s="30"/>
      <c r="F8" s="3">
        <v>0.09</v>
      </c>
      <c r="G8">
        <v>2</v>
      </c>
      <c r="H8" s="5"/>
      <c r="I8" s="5"/>
      <c r="J8" s="16"/>
      <c r="K8" s="5"/>
      <c r="M8" s="9"/>
    </row>
    <row r="9" spans="1:14" x14ac:dyDescent="0.25">
      <c r="A9" t="s">
        <v>40</v>
      </c>
      <c r="B9" t="s">
        <v>41</v>
      </c>
      <c r="C9" s="4">
        <v>8950</v>
      </c>
      <c r="D9" s="15">
        <v>2192.2513887539008</v>
      </c>
      <c r="E9" s="30"/>
      <c r="F9" s="3">
        <v>0.05</v>
      </c>
      <c r="H9" s="5"/>
      <c r="I9" s="5"/>
      <c r="J9" s="16"/>
      <c r="K9" s="5"/>
    </row>
    <row r="10" spans="1:14" x14ac:dyDescent="0.25">
      <c r="A10" t="s">
        <v>81</v>
      </c>
      <c r="B10" t="s">
        <v>23</v>
      </c>
      <c r="C10" s="4">
        <v>2900</v>
      </c>
      <c r="D10" s="15">
        <v>710.33843881411303</v>
      </c>
      <c r="E10" s="30"/>
      <c r="F10" s="3">
        <v>0.09</v>
      </c>
      <c r="G10">
        <v>2</v>
      </c>
      <c r="H10" s="5"/>
      <c r="I10" s="5"/>
      <c r="J10" s="16"/>
      <c r="K10" s="5"/>
    </row>
    <row r="11" spans="1:14" x14ac:dyDescent="0.25">
      <c r="A11" t="s">
        <v>22</v>
      </c>
      <c r="B11" t="s">
        <v>23</v>
      </c>
      <c r="C11" s="4">
        <v>6200</v>
      </c>
      <c r="D11" s="15">
        <v>1518.6545933267246</v>
      </c>
      <c r="E11" s="30"/>
      <c r="F11" s="3">
        <v>0.06</v>
      </c>
      <c r="H11" s="5"/>
      <c r="I11" s="5"/>
      <c r="J11" s="16"/>
      <c r="K11" s="5"/>
    </row>
    <row r="12" spans="1:14" x14ac:dyDescent="0.25">
      <c r="A12" t="s">
        <v>64</v>
      </c>
      <c r="B12" t="s">
        <v>65</v>
      </c>
      <c r="C12" s="4">
        <v>4500</v>
      </c>
      <c r="D12" s="15">
        <v>1102.2493016081064</v>
      </c>
      <c r="E12" s="30"/>
      <c r="F12" s="3">
        <v>0.05</v>
      </c>
      <c r="H12" s="5"/>
      <c r="I12" s="5"/>
      <c r="J12" s="16"/>
      <c r="K12" s="5"/>
    </row>
    <row r="13" spans="1:14" x14ac:dyDescent="0.25">
      <c r="A13" t="s">
        <v>8</v>
      </c>
      <c r="B13" t="s">
        <v>9</v>
      </c>
      <c r="C13" s="4">
        <v>4300</v>
      </c>
      <c r="D13" s="15">
        <v>1053.2604437588573</v>
      </c>
      <c r="E13" s="30"/>
      <c r="F13" s="3">
        <v>0.09</v>
      </c>
      <c r="H13" s="5"/>
      <c r="I13" s="5"/>
      <c r="J13" s="16"/>
      <c r="K13" s="5"/>
    </row>
    <row r="14" spans="1:14" x14ac:dyDescent="0.25">
      <c r="A14" t="s">
        <v>16</v>
      </c>
      <c r="B14" t="s">
        <v>17</v>
      </c>
      <c r="C14" s="4">
        <v>4100</v>
      </c>
      <c r="D14" s="15">
        <v>1004.2715859096081</v>
      </c>
      <c r="E14" s="30"/>
      <c r="F14" s="3">
        <v>0.04</v>
      </c>
      <c r="G14">
        <v>1</v>
      </c>
      <c r="H14" s="5"/>
      <c r="I14" s="5"/>
      <c r="J14" s="16"/>
      <c r="K14" s="5"/>
    </row>
    <row r="15" spans="1:14" x14ac:dyDescent="0.25">
      <c r="A15" t="s">
        <v>81</v>
      </c>
      <c r="B15" t="s">
        <v>23</v>
      </c>
      <c r="C15" s="4">
        <v>23300</v>
      </c>
      <c r="D15" s="15">
        <v>5707.2019394375293</v>
      </c>
      <c r="E15" s="30"/>
      <c r="F15" s="3">
        <v>0.06</v>
      </c>
      <c r="H15" s="5"/>
      <c r="I15" s="5"/>
      <c r="J15" s="16"/>
      <c r="K15" s="5"/>
    </row>
    <row r="16" spans="1:14" x14ac:dyDescent="0.25">
      <c r="A16" t="s">
        <v>4</v>
      </c>
      <c r="B16" t="s">
        <v>5</v>
      </c>
      <c r="C16" s="4">
        <v>4500</v>
      </c>
      <c r="D16" s="15">
        <v>1102.2493016081064</v>
      </c>
      <c r="E16" s="30"/>
      <c r="F16" s="3">
        <v>0.06</v>
      </c>
      <c r="H16" s="5"/>
      <c r="I16" s="5"/>
      <c r="J16" s="16"/>
      <c r="K16" s="5"/>
    </row>
    <row r="17" spans="1:11" x14ac:dyDescent="0.25">
      <c r="A17" t="s">
        <v>12</v>
      </c>
      <c r="B17" t="s">
        <v>30</v>
      </c>
      <c r="C17" s="4">
        <v>4300</v>
      </c>
      <c r="D17" s="15">
        <v>1053.2604437588573</v>
      </c>
      <c r="E17" s="30"/>
      <c r="F17" s="3">
        <v>0.05</v>
      </c>
      <c r="H17" s="5"/>
      <c r="I17" s="5"/>
      <c r="J17" s="16"/>
      <c r="K17" s="5"/>
    </row>
    <row r="18" spans="1:11" x14ac:dyDescent="0.25">
      <c r="A18" t="s">
        <v>12</v>
      </c>
      <c r="B18" t="s">
        <v>24</v>
      </c>
      <c r="C18" s="4">
        <v>4100</v>
      </c>
      <c r="D18" s="15">
        <v>1004.2715859096081</v>
      </c>
      <c r="E18" s="30"/>
      <c r="F18" s="3">
        <v>7.0000000000000007E-2</v>
      </c>
      <c r="H18" s="5"/>
      <c r="I18" s="5"/>
      <c r="J18" s="16"/>
      <c r="K18" s="5"/>
    </row>
    <row r="19" spans="1:11" x14ac:dyDescent="0.25">
      <c r="A19" t="s">
        <v>35</v>
      </c>
      <c r="B19" t="s">
        <v>36</v>
      </c>
      <c r="C19" s="4">
        <v>4300</v>
      </c>
      <c r="D19" s="15">
        <v>1053.2604437588573</v>
      </c>
      <c r="E19" s="30"/>
      <c r="F19" s="3">
        <v>0.05</v>
      </c>
      <c r="H19" s="5"/>
      <c r="I19" s="5"/>
      <c r="J19" s="16"/>
      <c r="K19" s="5"/>
    </row>
    <row r="20" spans="1:11" x14ac:dyDescent="0.25">
      <c r="A20" t="s">
        <v>69</v>
      </c>
      <c r="B20" t="s">
        <v>70</v>
      </c>
      <c r="C20" s="4">
        <v>13500</v>
      </c>
      <c r="D20" s="15">
        <v>3306.7479048243194</v>
      </c>
      <c r="E20" s="30"/>
      <c r="F20" s="3">
        <v>0.05</v>
      </c>
      <c r="H20" s="5"/>
      <c r="I20" s="5"/>
      <c r="J20" s="16"/>
      <c r="K20" s="5"/>
    </row>
    <row r="21" spans="1:11" x14ac:dyDescent="0.25">
      <c r="A21" t="s">
        <v>16</v>
      </c>
      <c r="B21" t="s">
        <v>17</v>
      </c>
      <c r="C21" s="4">
        <v>2800</v>
      </c>
      <c r="D21" s="15">
        <v>685.84400988948846</v>
      </c>
      <c r="E21" s="30"/>
      <c r="F21" s="3">
        <v>0.15</v>
      </c>
      <c r="G21">
        <v>1</v>
      </c>
      <c r="H21" s="5"/>
      <c r="I21" s="5"/>
      <c r="J21" s="16"/>
      <c r="K21" s="5"/>
    </row>
    <row r="22" spans="1:11" x14ac:dyDescent="0.25">
      <c r="A22" t="s">
        <v>82</v>
      </c>
      <c r="B22" t="s">
        <v>83</v>
      </c>
      <c r="C22" s="4">
        <v>4500</v>
      </c>
      <c r="D22" s="15">
        <v>1102.2493016081064</v>
      </c>
      <c r="E22" s="30"/>
      <c r="F22" s="3">
        <v>7.0000000000000007E-2</v>
      </c>
      <c r="G22">
        <v>1</v>
      </c>
      <c r="H22" s="5"/>
      <c r="I22" s="5"/>
      <c r="J22" s="16"/>
      <c r="K22" s="5"/>
    </row>
    <row r="23" spans="1:11" x14ac:dyDescent="0.25">
      <c r="A23" t="s">
        <v>8</v>
      </c>
      <c r="B23" t="s">
        <v>9</v>
      </c>
      <c r="C23" s="4">
        <v>3800</v>
      </c>
      <c r="D23" s="15">
        <v>930.78829913573441</v>
      </c>
      <c r="E23" s="30"/>
      <c r="F23" s="3">
        <v>0.09</v>
      </c>
      <c r="H23" s="5"/>
      <c r="I23" s="5"/>
      <c r="J23" s="16"/>
      <c r="K23" s="5"/>
    </row>
    <row r="24" spans="1:11" x14ac:dyDescent="0.25">
      <c r="A24" t="s">
        <v>35</v>
      </c>
      <c r="B24" t="s">
        <v>36</v>
      </c>
      <c r="C24" s="4">
        <v>3400</v>
      </c>
      <c r="D24" s="15">
        <v>832.81058343723601</v>
      </c>
      <c r="E24" s="30"/>
      <c r="F24" s="3">
        <v>0.05</v>
      </c>
      <c r="G24">
        <v>2</v>
      </c>
      <c r="H24" s="5"/>
      <c r="I24" s="5"/>
      <c r="J24" s="16"/>
      <c r="K24" s="5"/>
    </row>
    <row r="25" spans="1:11" x14ac:dyDescent="0.25">
      <c r="A25" t="s">
        <v>20</v>
      </c>
      <c r="B25" t="s">
        <v>21</v>
      </c>
      <c r="C25" s="4">
        <v>2900</v>
      </c>
      <c r="D25" s="15">
        <v>710.33843881411303</v>
      </c>
      <c r="E25" s="30"/>
      <c r="F25" s="3">
        <v>0.06</v>
      </c>
      <c r="H25" s="5"/>
      <c r="I25" s="5"/>
      <c r="J25" s="16"/>
      <c r="K25" s="5"/>
    </row>
    <row r="26" spans="1:11" x14ac:dyDescent="0.25">
      <c r="A26" t="s">
        <v>67</v>
      </c>
      <c r="B26" t="s">
        <v>68</v>
      </c>
      <c r="C26" s="4">
        <v>4100</v>
      </c>
      <c r="D26" s="15">
        <v>1004.2715859096081</v>
      </c>
      <c r="E26" s="30"/>
      <c r="F26" s="3">
        <v>0.05</v>
      </c>
      <c r="G26">
        <v>3</v>
      </c>
      <c r="H26" s="5"/>
      <c r="I26" s="5"/>
      <c r="J26" s="16"/>
      <c r="K26" s="5"/>
    </row>
    <row r="27" spans="1:11" x14ac:dyDescent="0.25">
      <c r="A27" t="s">
        <v>42</v>
      </c>
      <c r="B27" t="s">
        <v>43</v>
      </c>
      <c r="C27" s="4">
        <v>2800</v>
      </c>
      <c r="D27" s="15">
        <v>685.84400988948846</v>
      </c>
      <c r="E27" s="30"/>
      <c r="F27" s="3">
        <v>0.15</v>
      </c>
      <c r="H27" s="5"/>
      <c r="I27" s="5"/>
      <c r="J27" s="16"/>
      <c r="K27" s="5"/>
    </row>
    <row r="28" spans="1:11" x14ac:dyDescent="0.25">
      <c r="A28" t="s">
        <v>18</v>
      </c>
      <c r="B28" t="s">
        <v>19</v>
      </c>
      <c r="C28" s="4">
        <v>4100</v>
      </c>
      <c r="D28" s="15">
        <v>1004.2715859096081</v>
      </c>
      <c r="E28" s="30"/>
      <c r="F28" s="3">
        <v>0.15</v>
      </c>
      <c r="H28" s="5"/>
      <c r="I28" s="5"/>
      <c r="J28" s="16"/>
      <c r="K28" s="5"/>
    </row>
    <row r="29" spans="1:11" x14ac:dyDescent="0.25">
      <c r="A29" t="s">
        <v>10</v>
      </c>
      <c r="B29" t="s">
        <v>11</v>
      </c>
      <c r="C29" s="4">
        <v>2900</v>
      </c>
      <c r="D29" s="15">
        <v>710.33843881411303</v>
      </c>
      <c r="E29" s="30"/>
      <c r="F29" s="3">
        <v>0.05</v>
      </c>
      <c r="G29">
        <v>1</v>
      </c>
      <c r="H29" s="5"/>
      <c r="I29" s="5"/>
      <c r="J29" s="16"/>
      <c r="K29" s="5"/>
    </row>
    <row r="30" spans="1:11" x14ac:dyDescent="0.25">
      <c r="A30" t="s">
        <v>60</v>
      </c>
      <c r="B30" t="s">
        <v>61</v>
      </c>
      <c r="C30" s="4">
        <v>2800</v>
      </c>
      <c r="D30" s="15">
        <v>685.84400988948846</v>
      </c>
      <c r="E30" s="30"/>
      <c r="F30" s="3">
        <v>0.09</v>
      </c>
      <c r="G30">
        <v>1</v>
      </c>
      <c r="H30" s="5"/>
      <c r="I30" s="5"/>
      <c r="J30" s="16"/>
      <c r="K30" s="5"/>
    </row>
    <row r="31" spans="1:11" x14ac:dyDescent="0.25">
      <c r="A31" t="s">
        <v>12</v>
      </c>
      <c r="B31" t="s">
        <v>86</v>
      </c>
      <c r="C31" s="4">
        <v>2900</v>
      </c>
      <c r="D31" s="15">
        <v>710.33843881411303</v>
      </c>
      <c r="E31" s="30"/>
      <c r="F31" s="3">
        <v>0.05</v>
      </c>
      <c r="H31" s="5"/>
      <c r="I31" s="5"/>
      <c r="J31" s="16"/>
      <c r="K31" s="5"/>
    </row>
    <row r="32" spans="1:11" x14ac:dyDescent="0.25">
      <c r="A32" t="s">
        <v>56</v>
      </c>
      <c r="B32" t="s">
        <v>57</v>
      </c>
      <c r="C32" s="4">
        <v>7700</v>
      </c>
      <c r="D32" s="15">
        <v>1886.0710271960934</v>
      </c>
      <c r="E32" s="30"/>
      <c r="F32" s="3">
        <v>7.0000000000000007E-2</v>
      </c>
      <c r="H32" s="5"/>
      <c r="I32" s="5"/>
      <c r="J32" s="16"/>
      <c r="K32" s="5"/>
    </row>
    <row r="33" spans="1:11" x14ac:dyDescent="0.25">
      <c r="A33" t="s">
        <v>44</v>
      </c>
      <c r="B33" t="s">
        <v>45</v>
      </c>
      <c r="C33" s="4">
        <v>4500</v>
      </c>
      <c r="D33" s="15">
        <v>1102.2493016081064</v>
      </c>
      <c r="E33" s="30"/>
      <c r="F33" s="3">
        <v>0.05</v>
      </c>
      <c r="G33">
        <v>1</v>
      </c>
      <c r="H33" s="5"/>
      <c r="I33" s="5"/>
      <c r="J33" s="16"/>
      <c r="K33" s="5"/>
    </row>
    <row r="34" spans="1:11" x14ac:dyDescent="0.25">
      <c r="A34" t="s">
        <v>62</v>
      </c>
      <c r="B34" t="s">
        <v>63</v>
      </c>
      <c r="C34" s="4">
        <v>4600</v>
      </c>
      <c r="D34" s="15">
        <v>1126.743730532731</v>
      </c>
      <c r="E34" s="30"/>
      <c r="F34" s="3">
        <v>0.1</v>
      </c>
      <c r="H34" s="5"/>
      <c r="I34" s="5"/>
      <c r="J34" s="16"/>
      <c r="K34" s="5"/>
    </row>
    <row r="35" spans="1:11" x14ac:dyDescent="0.25">
      <c r="A35" t="s">
        <v>27</v>
      </c>
      <c r="B35" t="s">
        <v>28</v>
      </c>
      <c r="C35" s="4">
        <v>8900</v>
      </c>
      <c r="D35" s="15">
        <v>2180.0041742915882</v>
      </c>
      <c r="E35" s="30"/>
      <c r="F35" s="3">
        <v>0.05</v>
      </c>
      <c r="G35">
        <v>2</v>
      </c>
      <c r="H35" s="5"/>
      <c r="I35" s="5"/>
      <c r="J35" s="16"/>
      <c r="K35" s="5"/>
    </row>
    <row r="36" spans="1:11" x14ac:dyDescent="0.25">
      <c r="A36" t="s">
        <v>73</v>
      </c>
      <c r="B36" t="s">
        <v>74</v>
      </c>
      <c r="C36" s="4">
        <v>2900</v>
      </c>
      <c r="D36" s="15">
        <v>710.33843881411303</v>
      </c>
      <c r="E36" s="30"/>
      <c r="F36" s="3">
        <v>0.1</v>
      </c>
      <c r="H36" s="5"/>
      <c r="I36" s="5"/>
      <c r="J36" s="16"/>
      <c r="K36" s="5"/>
    </row>
    <row r="37" spans="1:11" x14ac:dyDescent="0.25">
      <c r="A37" t="s">
        <v>18</v>
      </c>
      <c r="B37" t="s">
        <v>19</v>
      </c>
      <c r="C37" s="4">
        <v>4100</v>
      </c>
      <c r="D37" s="15">
        <v>1004.2715859096081</v>
      </c>
      <c r="E37" s="30"/>
      <c r="F37" s="3">
        <v>0.05</v>
      </c>
      <c r="H37" s="5"/>
      <c r="I37" s="5"/>
      <c r="J37" s="16"/>
      <c r="K37" s="5"/>
    </row>
    <row r="38" spans="1:11" x14ac:dyDescent="0.25">
      <c r="A38" t="s">
        <v>78</v>
      </c>
      <c r="B38" t="s">
        <v>63</v>
      </c>
      <c r="C38" s="4">
        <v>14600</v>
      </c>
      <c r="D38" s="15">
        <v>3576.1866229951897</v>
      </c>
      <c r="E38" s="30"/>
      <c r="F38" s="3">
        <v>0.1</v>
      </c>
      <c r="H38" s="5"/>
      <c r="I38" s="5"/>
      <c r="J38" s="16"/>
      <c r="K38" s="5"/>
    </row>
    <row r="39" spans="1:11" x14ac:dyDescent="0.25">
      <c r="A39" t="s">
        <v>29</v>
      </c>
      <c r="B39" t="s">
        <v>30</v>
      </c>
      <c r="C39" s="4">
        <v>3800</v>
      </c>
      <c r="D39" s="15">
        <v>930.78829913573441</v>
      </c>
      <c r="E39" s="30"/>
      <c r="F39" s="3">
        <v>0.04</v>
      </c>
      <c r="G39">
        <v>1</v>
      </c>
      <c r="H39" s="5"/>
      <c r="I39" s="5"/>
      <c r="J39" s="16"/>
      <c r="K39" s="5"/>
    </row>
    <row r="40" spans="1:11" x14ac:dyDescent="0.25">
      <c r="A40" t="s">
        <v>58</v>
      </c>
      <c r="B40" t="s">
        <v>59</v>
      </c>
      <c r="C40" s="4">
        <v>4100</v>
      </c>
      <c r="D40" s="15">
        <v>1004.2715859096081</v>
      </c>
      <c r="E40" s="30"/>
      <c r="F40" s="3">
        <v>0.04</v>
      </c>
      <c r="H40" s="5"/>
      <c r="I40" s="5"/>
      <c r="J40" s="16"/>
      <c r="K40" s="5"/>
    </row>
    <row r="41" spans="1:11" x14ac:dyDescent="0.25">
      <c r="A41" t="s">
        <v>29</v>
      </c>
      <c r="B41" t="s">
        <v>30</v>
      </c>
      <c r="C41" s="4">
        <v>3800</v>
      </c>
      <c r="D41" s="15">
        <v>930.78829913573441</v>
      </c>
      <c r="E41" s="30"/>
      <c r="F41" s="3">
        <v>0.06</v>
      </c>
      <c r="H41" s="5"/>
      <c r="I41" s="5"/>
      <c r="J41" s="16"/>
      <c r="K41" s="5"/>
    </row>
    <row r="42" spans="1:11" x14ac:dyDescent="0.25">
      <c r="A42" t="s">
        <v>62</v>
      </c>
      <c r="B42" t="s">
        <v>63</v>
      </c>
      <c r="C42" s="4">
        <v>14600</v>
      </c>
      <c r="D42" s="15">
        <v>3576.1866229951897</v>
      </c>
      <c r="E42" s="30"/>
      <c r="F42" s="3">
        <v>0.1</v>
      </c>
      <c r="H42" s="5"/>
      <c r="I42" s="5"/>
      <c r="J42" s="16"/>
      <c r="K42" s="5"/>
    </row>
    <row r="43" spans="1:11" x14ac:dyDescent="0.25">
      <c r="A43" t="s">
        <v>29</v>
      </c>
      <c r="B43" t="s">
        <v>30</v>
      </c>
      <c r="C43" s="4">
        <v>4100</v>
      </c>
      <c r="D43" s="15">
        <v>1004.2715859096081</v>
      </c>
      <c r="E43" s="30"/>
      <c r="F43" s="3">
        <v>0.15</v>
      </c>
      <c r="G43">
        <v>1</v>
      </c>
      <c r="H43" s="5"/>
      <c r="I43" s="5"/>
      <c r="J43" s="16"/>
      <c r="K43" s="5"/>
    </row>
    <row r="44" spans="1:11" x14ac:dyDescent="0.25">
      <c r="A44" t="s">
        <v>12</v>
      </c>
      <c r="B44" t="s">
        <v>24</v>
      </c>
      <c r="C44" s="4">
        <v>12000</v>
      </c>
      <c r="D44" s="15">
        <v>2939.3314709549504</v>
      </c>
      <c r="E44" s="30"/>
      <c r="F44" s="3">
        <v>0.15</v>
      </c>
      <c r="H44" s="5"/>
      <c r="I44" s="5"/>
      <c r="J44" s="16"/>
      <c r="K44" s="5"/>
    </row>
    <row r="45" spans="1:11" x14ac:dyDescent="0.25">
      <c r="A45" t="s">
        <v>8</v>
      </c>
      <c r="B45" t="s">
        <v>9</v>
      </c>
      <c r="C45" s="4">
        <v>2900</v>
      </c>
      <c r="D45" s="15">
        <v>710.33843881411303</v>
      </c>
      <c r="E45" s="30"/>
      <c r="F45" s="3">
        <v>0.06</v>
      </c>
      <c r="G45">
        <v>1</v>
      </c>
      <c r="H45" s="5"/>
      <c r="I45" s="5"/>
      <c r="J45" s="16"/>
      <c r="K45" s="5"/>
    </row>
    <row r="46" spans="1:11" x14ac:dyDescent="0.25">
      <c r="A46" t="s">
        <v>27</v>
      </c>
      <c r="B46" t="s">
        <v>28</v>
      </c>
      <c r="C46" s="4">
        <v>4100</v>
      </c>
      <c r="D46" s="15">
        <v>1004.2715859096081</v>
      </c>
      <c r="E46" s="30"/>
      <c r="F46" s="3">
        <v>7.0000000000000007E-2</v>
      </c>
      <c r="G46">
        <v>1</v>
      </c>
      <c r="H46" s="5"/>
      <c r="I46" s="5"/>
      <c r="J46" s="16"/>
      <c r="K46" s="5"/>
    </row>
    <row r="47" spans="1:11" x14ac:dyDescent="0.25">
      <c r="A47" t="s">
        <v>52</v>
      </c>
      <c r="B47" t="s">
        <v>53</v>
      </c>
      <c r="C47" s="4">
        <v>2900</v>
      </c>
      <c r="D47" s="15">
        <v>710.33843881411303</v>
      </c>
      <c r="E47" s="30"/>
      <c r="F47" s="3">
        <v>0.05</v>
      </c>
      <c r="G47">
        <v>1</v>
      </c>
      <c r="H47" s="5"/>
      <c r="I47" s="5"/>
      <c r="J47" s="16"/>
      <c r="K47" s="5"/>
    </row>
    <row r="48" spans="1:11" x14ac:dyDescent="0.25">
      <c r="A48" t="s">
        <v>18</v>
      </c>
      <c r="B48" t="s">
        <v>19</v>
      </c>
      <c r="C48" s="4">
        <v>2900</v>
      </c>
      <c r="D48" s="15">
        <v>710.33843881411303</v>
      </c>
      <c r="E48" s="30"/>
      <c r="F48" s="3">
        <v>0.05</v>
      </c>
      <c r="G48">
        <v>2</v>
      </c>
      <c r="H48" s="5"/>
      <c r="I48" s="5"/>
      <c r="J48" s="16"/>
      <c r="K48" s="5"/>
    </row>
    <row r="49" spans="1:11" x14ac:dyDescent="0.25">
      <c r="A49" t="s">
        <v>29</v>
      </c>
      <c r="B49" t="s">
        <v>30</v>
      </c>
      <c r="C49" s="4">
        <v>3400</v>
      </c>
      <c r="D49" s="15">
        <v>832.81058343723601</v>
      </c>
      <c r="E49" s="30"/>
      <c r="F49" s="3">
        <v>0.05</v>
      </c>
      <c r="G49">
        <v>2</v>
      </c>
      <c r="H49" s="5"/>
      <c r="I49" s="5"/>
      <c r="J49" s="16"/>
      <c r="K49" s="5"/>
    </row>
    <row r="50" spans="1:11" x14ac:dyDescent="0.25">
      <c r="A50" t="s">
        <v>2</v>
      </c>
      <c r="B50" t="s">
        <v>3</v>
      </c>
      <c r="C50" s="4">
        <v>4600</v>
      </c>
      <c r="D50" s="15">
        <v>1126.743730532731</v>
      </c>
      <c r="E50" s="30"/>
      <c r="F50" s="3">
        <v>0.1</v>
      </c>
      <c r="G50">
        <v>1</v>
      </c>
      <c r="H50" s="5"/>
      <c r="I50" s="5"/>
      <c r="J50" s="16"/>
      <c r="K50" s="5"/>
    </row>
    <row r="51" spans="1:11" x14ac:dyDescent="0.25">
      <c r="A51" t="s">
        <v>52</v>
      </c>
      <c r="B51" t="s">
        <v>53</v>
      </c>
      <c r="C51" s="4">
        <v>4200</v>
      </c>
      <c r="D51" s="15">
        <v>1028.7660148342327</v>
      </c>
      <c r="E51" s="30"/>
      <c r="F51" s="3">
        <v>7.0000000000000007E-2</v>
      </c>
      <c r="G51">
        <v>1</v>
      </c>
      <c r="H51" s="5"/>
      <c r="I51" s="5"/>
      <c r="J51" s="16"/>
      <c r="K51" s="5"/>
    </row>
    <row r="52" spans="1:11" x14ac:dyDescent="0.25">
      <c r="A52" t="s">
        <v>84</v>
      </c>
      <c r="B52" t="s">
        <v>85</v>
      </c>
      <c r="C52" s="4">
        <v>4600</v>
      </c>
      <c r="D52" s="15">
        <v>1126.743730532731</v>
      </c>
      <c r="E52" s="30"/>
      <c r="F52" s="3">
        <v>0.05</v>
      </c>
      <c r="H52" s="5"/>
      <c r="I52" s="5"/>
      <c r="J52" s="16"/>
      <c r="K52" s="5"/>
    </row>
    <row r="53" spans="1:11" x14ac:dyDescent="0.25">
      <c r="A53" t="s">
        <v>12</v>
      </c>
      <c r="B53" t="s">
        <v>24</v>
      </c>
      <c r="C53" s="4">
        <v>12200</v>
      </c>
      <c r="D53" s="15">
        <v>2988.3203288042</v>
      </c>
      <c r="E53" s="30"/>
      <c r="F53" s="3">
        <v>0.09</v>
      </c>
      <c r="G53">
        <v>3</v>
      </c>
      <c r="H53" s="5"/>
      <c r="I53" s="5"/>
      <c r="J53" s="16"/>
      <c r="K53" s="5"/>
    </row>
    <row r="54" spans="1:11" x14ac:dyDescent="0.25">
      <c r="A54" t="s">
        <v>58</v>
      </c>
      <c r="B54" t="s">
        <v>59</v>
      </c>
      <c r="C54" s="4">
        <v>2900</v>
      </c>
      <c r="D54" s="15">
        <v>710.33843881411303</v>
      </c>
      <c r="E54" s="30"/>
      <c r="F54" s="3">
        <v>0.15</v>
      </c>
      <c r="G54">
        <v>1</v>
      </c>
      <c r="H54" s="5"/>
      <c r="I54" s="5"/>
      <c r="J54" s="16"/>
      <c r="K54" s="5"/>
    </row>
    <row r="55" spans="1:11" x14ac:dyDescent="0.25">
      <c r="A55" t="s">
        <v>12</v>
      </c>
      <c r="B55" t="s">
        <v>30</v>
      </c>
      <c r="C55" s="4">
        <v>4100</v>
      </c>
      <c r="D55" s="15">
        <v>1004.2715859096081</v>
      </c>
      <c r="E55" s="30"/>
      <c r="F55" s="3">
        <v>3.3111111111111098E-2</v>
      </c>
      <c r="G55">
        <v>2</v>
      </c>
      <c r="H55" s="5"/>
      <c r="I55" s="5"/>
      <c r="J55" s="16"/>
      <c r="K55" s="5"/>
    </row>
    <row r="56" spans="1:11" x14ac:dyDescent="0.25">
      <c r="A56" t="s">
        <v>80</v>
      </c>
      <c r="B56" t="s">
        <v>57</v>
      </c>
      <c r="C56" s="4">
        <v>13500</v>
      </c>
      <c r="D56" s="15">
        <v>3306.7479048243194</v>
      </c>
      <c r="E56" s="30"/>
      <c r="F56" s="3">
        <v>0.1</v>
      </c>
      <c r="G56">
        <v>1</v>
      </c>
      <c r="H56" s="5"/>
      <c r="I56" s="5"/>
      <c r="J56" s="16"/>
      <c r="K56" s="5"/>
    </row>
    <row r="57" spans="1:11" x14ac:dyDescent="0.25">
      <c r="A57" t="s">
        <v>76</v>
      </c>
      <c r="B57" t="s">
        <v>77</v>
      </c>
      <c r="C57" s="4">
        <v>4300</v>
      </c>
      <c r="D57" s="15">
        <v>1053.2604437588573</v>
      </c>
      <c r="E57" s="30"/>
      <c r="F57" s="3">
        <v>7.0000000000000007E-2</v>
      </c>
      <c r="H57" s="5"/>
      <c r="I57" s="5"/>
      <c r="J57" s="16"/>
      <c r="K57" s="5"/>
    </row>
    <row r="58" spans="1:11" x14ac:dyDescent="0.25">
      <c r="A58" t="s">
        <v>76</v>
      </c>
      <c r="B58" t="s">
        <v>77</v>
      </c>
      <c r="C58" s="4">
        <v>3800</v>
      </c>
      <c r="D58" s="15">
        <v>930.78829913573441</v>
      </c>
      <c r="E58" s="30"/>
      <c r="F58" s="3">
        <v>0.05</v>
      </c>
      <c r="G58">
        <v>1</v>
      </c>
      <c r="H58" s="5"/>
      <c r="I58" s="5"/>
      <c r="J58" s="16"/>
      <c r="K58" s="5"/>
    </row>
    <row r="59" spans="1:11" x14ac:dyDescent="0.25">
      <c r="A59" t="s">
        <v>8</v>
      </c>
      <c r="B59" t="s">
        <v>9</v>
      </c>
      <c r="C59" s="4">
        <v>4300</v>
      </c>
      <c r="D59" s="15">
        <v>1053.2604437588573</v>
      </c>
      <c r="E59" s="30"/>
      <c r="F59" s="3">
        <v>7.0000000000000007E-2</v>
      </c>
      <c r="G59">
        <v>1</v>
      </c>
      <c r="H59" s="5"/>
      <c r="I59" s="5"/>
      <c r="J59" s="16"/>
      <c r="K59" s="5"/>
    </row>
    <row r="60" spans="1:11" x14ac:dyDescent="0.25">
      <c r="A60" t="s">
        <v>4</v>
      </c>
      <c r="B60" t="s">
        <v>5</v>
      </c>
      <c r="C60" s="4">
        <v>3800</v>
      </c>
      <c r="D60" s="15">
        <v>930.78829913573441</v>
      </c>
      <c r="E60" s="30"/>
      <c r="F60" s="3">
        <v>0.06</v>
      </c>
      <c r="G60">
        <v>2</v>
      </c>
      <c r="H60" s="5"/>
      <c r="I60" s="5"/>
      <c r="J60" s="16"/>
      <c r="K60" s="5"/>
    </row>
    <row r="61" spans="1:11" x14ac:dyDescent="0.25">
      <c r="A61" t="s">
        <v>79</v>
      </c>
      <c r="B61" t="s">
        <v>47</v>
      </c>
      <c r="C61" s="4">
        <v>4600</v>
      </c>
      <c r="D61" s="15">
        <v>1126.743730532731</v>
      </c>
      <c r="E61" s="30"/>
      <c r="F61" s="3">
        <v>0.1</v>
      </c>
      <c r="H61" s="5"/>
      <c r="I61" s="5"/>
      <c r="J61" s="16"/>
      <c r="K61" s="5"/>
    </row>
    <row r="62" spans="1:11" x14ac:dyDescent="0.25">
      <c r="A62" t="s">
        <v>22</v>
      </c>
      <c r="B62" t="s">
        <v>23</v>
      </c>
      <c r="C62" s="4">
        <v>5000</v>
      </c>
      <c r="D62" s="15">
        <v>1224.7214462312295</v>
      </c>
      <c r="E62" s="30"/>
      <c r="F62" s="3">
        <v>0.05</v>
      </c>
      <c r="G62">
        <v>1</v>
      </c>
      <c r="H62" s="5"/>
      <c r="I62" s="5"/>
      <c r="J62" s="16"/>
      <c r="K62" s="5"/>
    </row>
    <row r="63" spans="1:11" x14ac:dyDescent="0.25">
      <c r="A63" t="s">
        <v>62</v>
      </c>
      <c r="B63" t="s">
        <v>63</v>
      </c>
      <c r="C63" s="4">
        <v>2900</v>
      </c>
      <c r="D63" s="15">
        <v>710.33843881411303</v>
      </c>
      <c r="E63" s="30"/>
      <c r="F63" s="3">
        <v>0.04</v>
      </c>
      <c r="G63">
        <v>1</v>
      </c>
      <c r="H63" s="5"/>
      <c r="I63" s="5"/>
      <c r="J63" s="16"/>
      <c r="K63" s="5"/>
    </row>
    <row r="64" spans="1:11" x14ac:dyDescent="0.25">
      <c r="A64" t="s">
        <v>80</v>
      </c>
      <c r="B64" t="s">
        <v>57</v>
      </c>
      <c r="C64" s="4">
        <v>4100</v>
      </c>
      <c r="D64" s="15">
        <v>1004.2715859096081</v>
      </c>
      <c r="E64" s="30"/>
      <c r="F64" s="3">
        <v>0.06</v>
      </c>
      <c r="H64" s="5"/>
      <c r="I64" s="5"/>
      <c r="J64" s="16"/>
      <c r="K64" s="5"/>
    </row>
    <row r="65" spans="1:11" x14ac:dyDescent="0.25">
      <c r="A65" t="s">
        <v>33</v>
      </c>
      <c r="B65" t="s">
        <v>34</v>
      </c>
      <c r="C65" s="4">
        <v>4300</v>
      </c>
      <c r="D65" s="15">
        <v>1053.2604437588573</v>
      </c>
      <c r="E65" s="30"/>
      <c r="F65" s="3">
        <v>0.06</v>
      </c>
      <c r="H65" s="5"/>
      <c r="I65" s="5"/>
      <c r="J65" s="16"/>
      <c r="K65" s="5"/>
    </row>
    <row r="66" spans="1:11" x14ac:dyDescent="0.25">
      <c r="A66" t="s">
        <v>78</v>
      </c>
      <c r="B66" t="s">
        <v>63</v>
      </c>
      <c r="C66" s="4">
        <v>2900</v>
      </c>
      <c r="D66" s="15">
        <v>710.33843881411303</v>
      </c>
      <c r="E66" s="30"/>
      <c r="F66" s="3">
        <v>0.05</v>
      </c>
      <c r="H66" s="5"/>
      <c r="I66" s="5"/>
      <c r="J66" s="16"/>
      <c r="K66" s="5"/>
    </row>
    <row r="67" spans="1:11" x14ac:dyDescent="0.25">
      <c r="A67" t="s">
        <v>25</v>
      </c>
      <c r="B67" t="s">
        <v>24</v>
      </c>
      <c r="C67" s="4">
        <v>4600</v>
      </c>
      <c r="D67" s="15">
        <v>1126.743730532731</v>
      </c>
      <c r="E67" s="30"/>
      <c r="F67" s="3">
        <v>0.1</v>
      </c>
      <c r="H67" s="5"/>
      <c r="I67" s="5"/>
      <c r="J67" s="16"/>
      <c r="K67" s="5"/>
    </row>
    <row r="68" spans="1:11" x14ac:dyDescent="0.25">
      <c r="A68" t="s">
        <v>73</v>
      </c>
      <c r="B68" t="s">
        <v>74</v>
      </c>
      <c r="C68" s="4">
        <v>6200</v>
      </c>
      <c r="D68" s="15">
        <v>1518.6545933267246</v>
      </c>
      <c r="E68" s="30"/>
      <c r="F68" s="3">
        <v>0.06</v>
      </c>
      <c r="G68">
        <v>2</v>
      </c>
      <c r="H68" s="5"/>
      <c r="I68" s="5"/>
      <c r="J68" s="16"/>
      <c r="K68" s="5"/>
    </row>
    <row r="69" spans="1:11" x14ac:dyDescent="0.25">
      <c r="A69" t="s">
        <v>79</v>
      </c>
      <c r="B69" t="s">
        <v>47</v>
      </c>
      <c r="C69" s="4">
        <v>8900</v>
      </c>
      <c r="D69" s="15">
        <v>2180.0041742915882</v>
      </c>
      <c r="E69" s="30"/>
      <c r="F69" s="3">
        <v>0.04</v>
      </c>
      <c r="H69" s="5"/>
      <c r="I69" s="5"/>
      <c r="J69" s="16"/>
      <c r="K69" s="5"/>
    </row>
    <row r="70" spans="1:11" x14ac:dyDescent="0.25">
      <c r="A70" t="s">
        <v>33</v>
      </c>
      <c r="B70" t="s">
        <v>34</v>
      </c>
      <c r="C70" s="4">
        <v>3800</v>
      </c>
      <c r="D70" s="15">
        <v>930.78829913573441</v>
      </c>
      <c r="E70" s="30"/>
      <c r="F70" s="3">
        <v>0.04</v>
      </c>
      <c r="G70">
        <v>1</v>
      </c>
      <c r="H70" s="5"/>
      <c r="I70" s="5"/>
      <c r="J70" s="16"/>
      <c r="K70" s="5"/>
    </row>
    <row r="71" spans="1:11" x14ac:dyDescent="0.25">
      <c r="A71" t="s">
        <v>6</v>
      </c>
      <c r="B71" t="s">
        <v>7</v>
      </c>
      <c r="C71" s="4">
        <v>3800</v>
      </c>
      <c r="D71" s="15">
        <v>930.78829913573441</v>
      </c>
      <c r="E71" s="30"/>
      <c r="F71" s="3">
        <v>0.09</v>
      </c>
      <c r="G71">
        <v>2</v>
      </c>
      <c r="H71" s="5"/>
      <c r="I71" s="5"/>
      <c r="J71" s="16"/>
      <c r="K71" s="5"/>
    </row>
    <row r="72" spans="1:11" x14ac:dyDescent="0.25">
      <c r="A72" t="s">
        <v>66</v>
      </c>
      <c r="B72" t="s">
        <v>13</v>
      </c>
      <c r="C72" s="4">
        <v>4100</v>
      </c>
      <c r="D72" s="15">
        <v>1004.2715859096081</v>
      </c>
      <c r="E72" s="30"/>
      <c r="F72" s="3">
        <v>0.09</v>
      </c>
      <c r="H72" s="5"/>
      <c r="I72" s="5"/>
      <c r="J72" s="16"/>
      <c r="K72" s="5"/>
    </row>
    <row r="73" spans="1:11" x14ac:dyDescent="0.25">
      <c r="A73" t="s">
        <v>48</v>
      </c>
      <c r="B73" t="s">
        <v>49</v>
      </c>
      <c r="C73" s="4">
        <v>3800</v>
      </c>
      <c r="D73" s="15">
        <v>930.78829913573441</v>
      </c>
      <c r="E73" s="30"/>
      <c r="F73" s="3">
        <v>0.06</v>
      </c>
      <c r="G73">
        <v>1</v>
      </c>
      <c r="H73" s="5"/>
      <c r="I73" s="5"/>
      <c r="J73" s="16"/>
      <c r="K73" s="5"/>
    </row>
    <row r="74" spans="1:11" x14ac:dyDescent="0.25">
      <c r="A74" t="s">
        <v>10</v>
      </c>
      <c r="B74" t="s">
        <v>11</v>
      </c>
      <c r="C74" s="4">
        <v>12200</v>
      </c>
      <c r="D74" s="15">
        <v>2988.3203288042</v>
      </c>
      <c r="E74" s="30"/>
      <c r="F74" s="3">
        <v>0.1</v>
      </c>
      <c r="H74" s="5"/>
      <c r="I74" s="5"/>
      <c r="J74" s="16"/>
      <c r="K74" s="5"/>
    </row>
    <row r="75" spans="1:11" x14ac:dyDescent="0.25">
      <c r="A75" t="s">
        <v>67</v>
      </c>
      <c r="B75" t="s">
        <v>68</v>
      </c>
      <c r="C75" s="4">
        <v>2900</v>
      </c>
      <c r="D75" s="15">
        <v>710.33843881411303</v>
      </c>
      <c r="E75" s="30"/>
      <c r="F75" s="3">
        <v>0.04</v>
      </c>
      <c r="H75" s="5"/>
      <c r="I75" s="5"/>
      <c r="J75" s="16"/>
      <c r="K75" s="5"/>
    </row>
    <row r="76" spans="1:11" x14ac:dyDescent="0.25">
      <c r="A76" t="s">
        <v>37</v>
      </c>
      <c r="B76" t="s">
        <v>38</v>
      </c>
      <c r="C76" s="4">
        <v>13000</v>
      </c>
      <c r="D76" s="15">
        <v>3184.2757602011966</v>
      </c>
      <c r="E76" s="30"/>
      <c r="F76" s="3">
        <v>0.05</v>
      </c>
      <c r="G76">
        <v>1</v>
      </c>
      <c r="H76" s="5"/>
      <c r="I76" s="5"/>
      <c r="J76" s="16"/>
      <c r="K76" s="5"/>
    </row>
    <row r="77" spans="1:11" x14ac:dyDescent="0.25">
      <c r="A77" t="s">
        <v>44</v>
      </c>
      <c r="B77" t="s">
        <v>45</v>
      </c>
      <c r="C77" s="4">
        <v>4500</v>
      </c>
      <c r="D77" s="15">
        <v>1102.2493016081064</v>
      </c>
      <c r="E77" s="30"/>
      <c r="F77" s="3">
        <v>0.05</v>
      </c>
      <c r="G77">
        <v>3</v>
      </c>
      <c r="H77" s="5"/>
      <c r="I77" s="5"/>
      <c r="J77" s="16"/>
      <c r="K77" s="5"/>
    </row>
    <row r="78" spans="1:11" x14ac:dyDescent="0.25">
      <c r="A78" t="s">
        <v>69</v>
      </c>
      <c r="B78" t="s">
        <v>70</v>
      </c>
      <c r="C78" s="4">
        <v>2900</v>
      </c>
      <c r="D78" s="15">
        <v>710.33843881411303</v>
      </c>
      <c r="E78" s="30"/>
      <c r="F78" s="3">
        <v>0.06</v>
      </c>
      <c r="G78">
        <v>1</v>
      </c>
      <c r="H78" s="5"/>
      <c r="I78" s="5"/>
      <c r="J78" s="16"/>
      <c r="K78" s="5"/>
    </row>
    <row r="79" spans="1:11" x14ac:dyDescent="0.25">
      <c r="A79" t="s">
        <v>81</v>
      </c>
      <c r="B79" t="s">
        <v>23</v>
      </c>
      <c r="C79" s="4">
        <v>8900</v>
      </c>
      <c r="D79" s="15">
        <v>2180.0041742915882</v>
      </c>
      <c r="E79" s="30"/>
      <c r="F79" s="3">
        <v>0.05</v>
      </c>
      <c r="G79">
        <v>2</v>
      </c>
      <c r="H79" s="5"/>
      <c r="I79" s="5"/>
      <c r="J79" s="16"/>
      <c r="K79" s="5"/>
    </row>
    <row r="80" spans="1:11" x14ac:dyDescent="0.25">
      <c r="A80" t="s">
        <v>6</v>
      </c>
      <c r="B80" t="s">
        <v>7</v>
      </c>
      <c r="C80" s="4">
        <v>8000</v>
      </c>
      <c r="D80" s="15">
        <v>1959.5543139699671</v>
      </c>
      <c r="E80" s="30"/>
      <c r="F80" s="3">
        <v>7.0000000000000007E-2</v>
      </c>
      <c r="G80">
        <v>1</v>
      </c>
      <c r="H80" s="5"/>
      <c r="I80" s="5"/>
      <c r="J80" s="16"/>
      <c r="K80" s="5"/>
    </row>
    <row r="81" spans="1:11" x14ac:dyDescent="0.25">
      <c r="A81" t="s">
        <v>62</v>
      </c>
      <c r="B81" t="s">
        <v>63</v>
      </c>
      <c r="C81" s="4">
        <v>4600</v>
      </c>
      <c r="D81" s="15">
        <v>1126.743730532731</v>
      </c>
      <c r="E81" s="30"/>
      <c r="F81" s="3">
        <v>0.06</v>
      </c>
      <c r="H81" s="5"/>
      <c r="I81" s="5"/>
      <c r="J81" s="16"/>
      <c r="K81" s="5"/>
    </row>
    <row r="82" spans="1:11" x14ac:dyDescent="0.25">
      <c r="A82" t="s">
        <v>27</v>
      </c>
      <c r="B82" t="s">
        <v>28</v>
      </c>
      <c r="C82" s="4">
        <v>8900</v>
      </c>
      <c r="D82" s="15">
        <v>2180.0041742915882</v>
      </c>
      <c r="E82" s="30"/>
      <c r="F82" s="3">
        <v>0.05</v>
      </c>
      <c r="G82">
        <v>1</v>
      </c>
      <c r="H82" s="5"/>
      <c r="I82" s="5"/>
      <c r="J82" s="16"/>
      <c r="K82" s="5"/>
    </row>
    <row r="83" spans="1:11" x14ac:dyDescent="0.25">
      <c r="A83" t="s">
        <v>18</v>
      </c>
      <c r="B83" t="s">
        <v>19</v>
      </c>
      <c r="C83" s="4">
        <v>28000</v>
      </c>
      <c r="D83" s="15">
        <v>6858.4400988948846</v>
      </c>
      <c r="E83" s="30"/>
      <c r="F83" s="3">
        <v>0.15</v>
      </c>
      <c r="G83">
        <v>1</v>
      </c>
      <c r="H83" s="5"/>
      <c r="I83" s="5"/>
      <c r="J83" s="16"/>
      <c r="K83" s="5"/>
    </row>
    <row r="84" spans="1:11" x14ac:dyDescent="0.25">
      <c r="A84" t="s">
        <v>66</v>
      </c>
      <c r="B84" t="s">
        <v>13</v>
      </c>
      <c r="C84" s="4">
        <v>4300</v>
      </c>
      <c r="D84" s="15">
        <v>1053.2604437588573</v>
      </c>
      <c r="E84" s="30"/>
      <c r="F84" s="3">
        <v>0.09</v>
      </c>
      <c r="G84">
        <v>1</v>
      </c>
      <c r="H84" s="5"/>
      <c r="I84" s="5"/>
      <c r="J84" s="16"/>
      <c r="K84" s="5"/>
    </row>
    <row r="85" spans="1:11" x14ac:dyDescent="0.25">
      <c r="A85" t="s">
        <v>18</v>
      </c>
      <c r="B85" t="s">
        <v>19</v>
      </c>
      <c r="C85" s="4">
        <v>3400</v>
      </c>
      <c r="D85" s="15">
        <v>832.81058343723601</v>
      </c>
      <c r="E85" s="30"/>
      <c r="F85" s="3">
        <v>0.05</v>
      </c>
      <c r="G85">
        <v>1</v>
      </c>
      <c r="H85" s="5"/>
      <c r="I85" s="5"/>
      <c r="J85" s="16"/>
      <c r="K85" s="5"/>
    </row>
    <row r="86" spans="1:11" x14ac:dyDescent="0.25">
      <c r="A86" t="s">
        <v>4</v>
      </c>
      <c r="B86" t="s">
        <v>5</v>
      </c>
      <c r="C86" s="4">
        <v>6200</v>
      </c>
      <c r="D86" s="15">
        <v>1518.6545933267246</v>
      </c>
      <c r="E86" s="30"/>
      <c r="F86" s="3">
        <v>0.05</v>
      </c>
      <c r="G86">
        <v>3</v>
      </c>
      <c r="H86" s="5"/>
      <c r="I86" s="5"/>
      <c r="J86" s="16"/>
      <c r="K86" s="5"/>
    </row>
    <row r="87" spans="1:11" x14ac:dyDescent="0.25">
      <c r="A87" t="s">
        <v>73</v>
      </c>
      <c r="B87" t="s">
        <v>74</v>
      </c>
      <c r="C87" s="4">
        <v>4200</v>
      </c>
      <c r="D87" s="15">
        <v>1028.7660148342327</v>
      </c>
      <c r="E87" s="30"/>
      <c r="F87" s="3">
        <v>0.15</v>
      </c>
      <c r="G87">
        <v>3</v>
      </c>
      <c r="H87" s="5"/>
      <c r="I87" s="5"/>
      <c r="J87" s="16"/>
      <c r="K87" s="5"/>
    </row>
    <row r="88" spans="1:11" x14ac:dyDescent="0.25">
      <c r="A88" t="s">
        <v>22</v>
      </c>
      <c r="B88" t="s">
        <v>23</v>
      </c>
      <c r="C88" s="4">
        <v>3400</v>
      </c>
      <c r="D88" s="15">
        <v>832.81058343723601</v>
      </c>
      <c r="E88" s="30"/>
      <c r="F88" s="3">
        <v>0.05</v>
      </c>
      <c r="H88" s="5"/>
      <c r="I88" s="5"/>
      <c r="J88" s="16"/>
      <c r="K88" s="5"/>
    </row>
    <row r="89" spans="1:11" x14ac:dyDescent="0.25">
      <c r="A89" t="s">
        <v>48</v>
      </c>
      <c r="B89" t="s">
        <v>49</v>
      </c>
      <c r="C89" s="4">
        <v>15400</v>
      </c>
      <c r="D89" s="15">
        <v>3772.1420543921868</v>
      </c>
      <c r="E89" s="30"/>
      <c r="F89" s="3">
        <v>0.05</v>
      </c>
      <c r="H89" s="5"/>
      <c r="I89" s="5"/>
      <c r="J89" s="16"/>
      <c r="K89" s="5"/>
    </row>
    <row r="90" spans="1:11" x14ac:dyDescent="0.25">
      <c r="A90" t="s">
        <v>22</v>
      </c>
      <c r="B90" t="s">
        <v>23</v>
      </c>
      <c r="C90" s="4">
        <v>4100</v>
      </c>
      <c r="D90" s="15">
        <v>1004.2715859096081</v>
      </c>
      <c r="E90" s="30"/>
      <c r="F90" s="3">
        <v>0.15</v>
      </c>
      <c r="H90" s="5"/>
      <c r="I90" s="5"/>
      <c r="J90" s="16"/>
      <c r="K90" s="5"/>
    </row>
    <row r="91" spans="1:11" x14ac:dyDescent="0.25">
      <c r="A91" t="s">
        <v>82</v>
      </c>
      <c r="B91" t="s">
        <v>83</v>
      </c>
      <c r="C91" s="4">
        <v>20000</v>
      </c>
      <c r="D91" s="15">
        <v>4898.885784924918</v>
      </c>
      <c r="E91" s="30"/>
      <c r="F91" s="3">
        <v>0.1</v>
      </c>
      <c r="H91" s="5"/>
      <c r="I91" s="5"/>
      <c r="J91" s="16"/>
      <c r="K91" s="5"/>
    </row>
    <row r="92" spans="1:11" x14ac:dyDescent="0.25">
      <c r="A92" t="s">
        <v>25</v>
      </c>
      <c r="B92" t="s">
        <v>24</v>
      </c>
      <c r="C92" s="4">
        <v>3800</v>
      </c>
      <c r="D92" s="15">
        <v>930.78829913573441</v>
      </c>
      <c r="E92" s="30"/>
      <c r="F92" s="3">
        <v>0.06</v>
      </c>
      <c r="G92">
        <v>2</v>
      </c>
      <c r="H92" s="5"/>
      <c r="I92" s="5"/>
      <c r="J92" s="16"/>
      <c r="K92" s="5"/>
    </row>
    <row r="93" spans="1:11" x14ac:dyDescent="0.25">
      <c r="A93" t="s">
        <v>67</v>
      </c>
      <c r="B93" t="s">
        <v>68</v>
      </c>
      <c r="C93" s="4">
        <v>13500</v>
      </c>
      <c r="D93" s="15">
        <v>3306.7479048243194</v>
      </c>
      <c r="E93" s="30"/>
      <c r="F93" s="3">
        <v>0.1</v>
      </c>
      <c r="G93">
        <v>2</v>
      </c>
      <c r="H93" s="5"/>
      <c r="I93" s="5"/>
      <c r="J93" s="16"/>
      <c r="K93" s="5"/>
    </row>
    <row r="94" spans="1:11" x14ac:dyDescent="0.25">
      <c r="A94" t="s">
        <v>12</v>
      </c>
      <c r="B94" t="s">
        <v>24</v>
      </c>
      <c r="C94" s="4">
        <v>13500</v>
      </c>
      <c r="D94" s="15">
        <v>3306.7479048243194</v>
      </c>
      <c r="E94" s="30"/>
      <c r="F94" s="3">
        <v>0.06</v>
      </c>
      <c r="H94" s="5"/>
      <c r="I94" s="5"/>
      <c r="J94" s="16"/>
      <c r="K94" s="5"/>
    </row>
    <row r="95" spans="1:11" x14ac:dyDescent="0.25">
      <c r="A95" t="s">
        <v>12</v>
      </c>
      <c r="B95" t="s">
        <v>86</v>
      </c>
      <c r="C95" s="4">
        <v>4500</v>
      </c>
      <c r="D95" s="15">
        <v>1102.2493016081064</v>
      </c>
      <c r="E95" s="30"/>
      <c r="F95" s="3">
        <v>0.04</v>
      </c>
      <c r="H95" s="5"/>
      <c r="I95" s="5"/>
      <c r="J95" s="16"/>
      <c r="K95" s="5"/>
    </row>
    <row r="96" spans="1:11" x14ac:dyDescent="0.25">
      <c r="A96" t="s">
        <v>58</v>
      </c>
      <c r="B96" t="s">
        <v>59</v>
      </c>
      <c r="C96" s="4">
        <v>5000</v>
      </c>
      <c r="D96" s="15">
        <v>1224.7214462312295</v>
      </c>
      <c r="E96" s="30"/>
      <c r="F96" s="3">
        <v>0.1</v>
      </c>
      <c r="G96">
        <v>1</v>
      </c>
      <c r="H96" s="5"/>
      <c r="I96" s="5"/>
      <c r="J96" s="16"/>
      <c r="K96" s="5"/>
    </row>
    <row r="97" spans="1:11" x14ac:dyDescent="0.25">
      <c r="A97" t="s">
        <v>71</v>
      </c>
      <c r="B97" t="s">
        <v>72</v>
      </c>
      <c r="C97" s="4">
        <v>2900</v>
      </c>
      <c r="D97" s="15">
        <v>710.33843881411303</v>
      </c>
      <c r="E97" s="30"/>
      <c r="F97" s="3">
        <v>0.05</v>
      </c>
      <c r="H97" s="5"/>
      <c r="I97" s="5"/>
      <c r="J97" s="16"/>
      <c r="K97" s="5"/>
    </row>
    <row r="98" spans="1:11" x14ac:dyDescent="0.25">
      <c r="A98" t="s">
        <v>35</v>
      </c>
      <c r="B98" t="s">
        <v>36</v>
      </c>
      <c r="C98" s="4">
        <v>2900</v>
      </c>
      <c r="D98" s="15">
        <v>710.33843881411303</v>
      </c>
      <c r="E98" s="30"/>
      <c r="F98" s="3">
        <v>0.06</v>
      </c>
      <c r="H98" s="5"/>
      <c r="I98" s="5"/>
      <c r="J98" s="16"/>
      <c r="K98" s="5"/>
    </row>
    <row r="99" spans="1:11" x14ac:dyDescent="0.25">
      <c r="A99" t="s">
        <v>37</v>
      </c>
      <c r="B99" t="s">
        <v>38</v>
      </c>
      <c r="C99" s="4">
        <v>16000</v>
      </c>
      <c r="D99" s="15">
        <v>3919.1086279399342</v>
      </c>
      <c r="E99" s="30"/>
      <c r="F99" s="3">
        <v>0.04</v>
      </c>
      <c r="G99">
        <v>1</v>
      </c>
      <c r="H99" s="5"/>
      <c r="I99" s="5"/>
      <c r="J99" s="16"/>
      <c r="K99" s="5"/>
    </row>
    <row r="100" spans="1:11" x14ac:dyDescent="0.25">
      <c r="A100" t="s">
        <v>4</v>
      </c>
      <c r="B100" t="s">
        <v>5</v>
      </c>
      <c r="C100" s="4">
        <v>4100</v>
      </c>
      <c r="D100" s="15">
        <v>1004.2715859096081</v>
      </c>
      <c r="E100" s="30"/>
      <c r="F100" s="3">
        <v>0.06</v>
      </c>
      <c r="G100">
        <v>1</v>
      </c>
      <c r="H100" s="5"/>
      <c r="I100" s="5"/>
      <c r="J100" s="16"/>
      <c r="K100" s="5"/>
    </row>
    <row r="101" spans="1:11" x14ac:dyDescent="0.25">
      <c r="A101" t="s">
        <v>81</v>
      </c>
      <c r="B101" t="s">
        <v>23</v>
      </c>
      <c r="C101" s="4">
        <v>2800</v>
      </c>
      <c r="D101" s="15">
        <v>685.84400988948846</v>
      </c>
      <c r="E101" s="30"/>
      <c r="F101" s="3">
        <v>0.05</v>
      </c>
      <c r="H101" s="5"/>
      <c r="I101" s="5"/>
      <c r="J101" s="16"/>
      <c r="K101" s="5"/>
    </row>
    <row r="102" spans="1:11" x14ac:dyDescent="0.25">
      <c r="A102" t="s">
        <v>44</v>
      </c>
      <c r="B102" t="s">
        <v>45</v>
      </c>
      <c r="C102" s="4">
        <v>20000</v>
      </c>
      <c r="D102" s="15">
        <v>4898.885784924918</v>
      </c>
      <c r="E102" s="30"/>
      <c r="F102" s="3">
        <v>0.09</v>
      </c>
      <c r="H102" s="5"/>
      <c r="I102" s="5"/>
      <c r="J102" s="16"/>
      <c r="K102" s="5"/>
    </row>
    <row r="103" spans="1:11" x14ac:dyDescent="0.25">
      <c r="A103" t="s">
        <v>2</v>
      </c>
      <c r="B103" t="s">
        <v>3</v>
      </c>
      <c r="C103" s="4">
        <v>5000</v>
      </c>
      <c r="D103" s="15">
        <v>1224.7214462312295</v>
      </c>
      <c r="E103" s="30"/>
      <c r="F103" s="3">
        <v>0.1</v>
      </c>
      <c r="H103" s="5"/>
      <c r="I103" s="5"/>
      <c r="J103" s="16"/>
      <c r="K103" s="5"/>
    </row>
    <row r="104" spans="1:11" x14ac:dyDescent="0.25">
      <c r="A104" t="s">
        <v>67</v>
      </c>
      <c r="B104" t="s">
        <v>68</v>
      </c>
      <c r="C104" s="4">
        <v>2900</v>
      </c>
      <c r="D104" s="15">
        <v>710.33843881411303</v>
      </c>
      <c r="E104" s="30"/>
      <c r="F104" s="3">
        <v>0.1</v>
      </c>
      <c r="G104">
        <v>3</v>
      </c>
      <c r="H104" s="5"/>
      <c r="I104" s="5"/>
      <c r="J104" s="16"/>
      <c r="K104" s="5"/>
    </row>
    <row r="105" spans="1:11" x14ac:dyDescent="0.25">
      <c r="A105" t="s">
        <v>60</v>
      </c>
      <c r="B105" t="s">
        <v>61</v>
      </c>
      <c r="C105" s="4">
        <v>23300</v>
      </c>
      <c r="D105" s="15">
        <v>5707.2019394375293</v>
      </c>
      <c r="E105" s="30"/>
      <c r="F105" s="3">
        <v>3.1777777777777801E-2</v>
      </c>
      <c r="G105">
        <v>2</v>
      </c>
      <c r="H105" s="5"/>
      <c r="I105" s="5"/>
      <c r="J105" s="16"/>
      <c r="K105" s="5"/>
    </row>
    <row r="106" spans="1:11" x14ac:dyDescent="0.25">
      <c r="A106" t="s">
        <v>67</v>
      </c>
      <c r="B106" t="s">
        <v>68</v>
      </c>
      <c r="C106" s="4">
        <v>3800</v>
      </c>
      <c r="D106" s="15">
        <v>930.78829913573441</v>
      </c>
      <c r="E106" s="30"/>
      <c r="F106" s="3">
        <v>0.06</v>
      </c>
      <c r="H106" s="5"/>
      <c r="I106" s="5"/>
      <c r="J106" s="16"/>
      <c r="K106" s="5"/>
    </row>
    <row r="107" spans="1:11" x14ac:dyDescent="0.25">
      <c r="A107" t="s">
        <v>46</v>
      </c>
      <c r="B107" t="s">
        <v>47</v>
      </c>
      <c r="C107" s="4">
        <v>4100</v>
      </c>
      <c r="D107" s="15">
        <v>1004.2715859096081</v>
      </c>
      <c r="E107" s="30"/>
      <c r="F107" s="3">
        <v>7.0000000000000007E-2</v>
      </c>
      <c r="G107">
        <v>1</v>
      </c>
      <c r="H107" s="5"/>
      <c r="I107" s="5"/>
      <c r="J107" s="16"/>
      <c r="K107" s="5"/>
    </row>
    <row r="108" spans="1:11" x14ac:dyDescent="0.25">
      <c r="A108" t="s">
        <v>26</v>
      </c>
      <c r="B108" t="s">
        <v>9</v>
      </c>
      <c r="C108" s="4">
        <v>2900</v>
      </c>
      <c r="D108" s="15">
        <v>710.33843881411303</v>
      </c>
      <c r="E108" s="30"/>
      <c r="F108" s="3">
        <v>0.1</v>
      </c>
      <c r="H108" s="5"/>
      <c r="I108" s="5"/>
      <c r="J108" s="16"/>
      <c r="K108" s="5"/>
    </row>
    <row r="109" spans="1:11" x14ac:dyDescent="0.25">
      <c r="A109" t="s">
        <v>6</v>
      </c>
      <c r="B109" t="s">
        <v>7</v>
      </c>
      <c r="C109" s="4">
        <v>4100</v>
      </c>
      <c r="D109" s="15">
        <v>1004.2715859096081</v>
      </c>
      <c r="E109" s="30"/>
      <c r="F109" s="3">
        <v>0.09</v>
      </c>
      <c r="G109">
        <v>1</v>
      </c>
      <c r="H109" s="5"/>
      <c r="I109" s="5"/>
      <c r="J109" s="16"/>
      <c r="K109" s="5"/>
    </row>
    <row r="110" spans="1:11" x14ac:dyDescent="0.25">
      <c r="A110" t="s">
        <v>58</v>
      </c>
      <c r="B110" t="s">
        <v>59</v>
      </c>
      <c r="C110" s="4">
        <v>2900</v>
      </c>
      <c r="D110" s="15">
        <v>710.33843881411303</v>
      </c>
      <c r="E110" s="30"/>
      <c r="F110" s="3">
        <v>0.09</v>
      </c>
      <c r="G110">
        <v>1</v>
      </c>
      <c r="H110" s="5"/>
      <c r="I110" s="5"/>
      <c r="J110" s="16"/>
      <c r="K110" s="5"/>
    </row>
    <row r="111" spans="1:11" x14ac:dyDescent="0.25">
      <c r="A111" t="s">
        <v>18</v>
      </c>
      <c r="B111" t="s">
        <v>19</v>
      </c>
      <c r="C111" s="4">
        <v>5000</v>
      </c>
      <c r="D111" s="15">
        <v>1224.7214462312295</v>
      </c>
      <c r="E111" s="30"/>
      <c r="F111" s="3">
        <v>0.09</v>
      </c>
      <c r="G111">
        <v>3</v>
      </c>
      <c r="H111" s="5"/>
      <c r="I111" s="5"/>
      <c r="J111" s="16"/>
      <c r="K111" s="5"/>
    </row>
    <row r="112" spans="1:11" x14ac:dyDescent="0.25">
      <c r="A112" t="s">
        <v>50</v>
      </c>
      <c r="B112" t="s">
        <v>51</v>
      </c>
      <c r="C112" s="4">
        <v>2900</v>
      </c>
      <c r="D112" s="15">
        <v>710.33843881411303</v>
      </c>
      <c r="E112" s="30"/>
      <c r="F112" s="3">
        <v>0.05</v>
      </c>
      <c r="G112">
        <v>1</v>
      </c>
      <c r="H112" s="5"/>
      <c r="I112" s="5"/>
      <c r="J112" s="16"/>
      <c r="K112" s="5"/>
    </row>
    <row r="113" spans="1:11" x14ac:dyDescent="0.25">
      <c r="A113" t="s">
        <v>56</v>
      </c>
      <c r="B113" t="s">
        <v>57</v>
      </c>
      <c r="C113" s="4">
        <v>2900</v>
      </c>
      <c r="D113" s="15">
        <v>710.33843881411303</v>
      </c>
      <c r="E113" s="30"/>
      <c r="F113" s="3">
        <v>0.06</v>
      </c>
      <c r="G113">
        <v>1</v>
      </c>
      <c r="H113" s="5"/>
      <c r="I113" s="5"/>
      <c r="J113" s="16"/>
      <c r="K113" s="5"/>
    </row>
    <row r="114" spans="1:11" x14ac:dyDescent="0.25">
      <c r="A114" t="s">
        <v>6</v>
      </c>
      <c r="B114" t="s">
        <v>7</v>
      </c>
      <c r="C114" s="4">
        <v>3400</v>
      </c>
      <c r="D114" s="15">
        <v>832.81058343723601</v>
      </c>
      <c r="E114" s="30"/>
      <c r="F114" s="3">
        <v>0.09</v>
      </c>
      <c r="H114" s="5"/>
      <c r="I114" s="5"/>
      <c r="J114" s="16"/>
      <c r="K114" s="5"/>
    </row>
    <row r="115" spans="1:11" x14ac:dyDescent="0.25">
      <c r="A115" t="s">
        <v>40</v>
      </c>
      <c r="B115" t="s">
        <v>41</v>
      </c>
      <c r="C115" s="4">
        <v>2800</v>
      </c>
      <c r="D115" s="15">
        <v>685.84400988948846</v>
      </c>
      <c r="E115" s="30"/>
      <c r="F115" s="3">
        <v>0.15</v>
      </c>
      <c r="H115" s="5"/>
      <c r="I115" s="5"/>
      <c r="J115" s="16"/>
      <c r="K115" s="5"/>
    </row>
    <row r="116" spans="1:11" x14ac:dyDescent="0.25">
      <c r="A116" t="s">
        <v>6</v>
      </c>
      <c r="B116" t="s">
        <v>7</v>
      </c>
      <c r="C116" s="4">
        <v>3400</v>
      </c>
      <c r="D116" s="15">
        <v>832.81058343723601</v>
      </c>
      <c r="E116" s="30"/>
      <c r="F116" s="3">
        <v>0.06</v>
      </c>
      <c r="H116" s="5"/>
      <c r="I116" s="5"/>
      <c r="J116" s="16"/>
      <c r="K116" s="5"/>
    </row>
    <row r="117" spans="1:11" x14ac:dyDescent="0.25">
      <c r="A117" t="s">
        <v>10</v>
      </c>
      <c r="B117" t="s">
        <v>11</v>
      </c>
      <c r="C117" s="4">
        <v>4200</v>
      </c>
      <c r="D117" s="15">
        <v>1028.7660148342327</v>
      </c>
      <c r="E117" s="30"/>
      <c r="F117" s="3">
        <v>0.05</v>
      </c>
      <c r="G117">
        <v>1</v>
      </c>
      <c r="H117" s="5"/>
      <c r="I117" s="5"/>
      <c r="J117" s="16"/>
      <c r="K117" s="5"/>
    </row>
    <row r="118" spans="1:11" x14ac:dyDescent="0.25">
      <c r="A118" t="s">
        <v>84</v>
      </c>
      <c r="B118" t="s">
        <v>85</v>
      </c>
      <c r="C118" s="4">
        <v>2900</v>
      </c>
      <c r="D118" s="15">
        <v>710.33843881411303</v>
      </c>
      <c r="E118" s="30"/>
      <c r="F118" s="3">
        <v>0.06</v>
      </c>
      <c r="H118" s="5"/>
      <c r="I118" s="5"/>
      <c r="J118" s="16"/>
      <c r="K118" s="5"/>
    </row>
    <row r="119" spans="1:11" x14ac:dyDescent="0.25">
      <c r="A119" t="s">
        <v>29</v>
      </c>
      <c r="B119" t="s">
        <v>30</v>
      </c>
      <c r="C119" s="4">
        <v>4100</v>
      </c>
      <c r="D119" s="15">
        <v>1004.2715859096081</v>
      </c>
      <c r="E119" s="30"/>
      <c r="F119" s="3">
        <v>0.05</v>
      </c>
      <c r="H119" s="5"/>
      <c r="I119" s="5"/>
      <c r="J119" s="16"/>
      <c r="K119" s="5"/>
    </row>
    <row r="120" spans="1:11" x14ac:dyDescent="0.25">
      <c r="A120" t="s">
        <v>79</v>
      </c>
      <c r="B120" t="s">
        <v>47</v>
      </c>
      <c r="C120" s="4">
        <v>6900</v>
      </c>
      <c r="D120" s="15">
        <v>1690.1155957990966</v>
      </c>
      <c r="E120" s="30"/>
      <c r="F120" s="3">
        <v>0.1</v>
      </c>
      <c r="H120" s="5"/>
      <c r="I120" s="5"/>
      <c r="J120" s="16"/>
      <c r="K120" s="5"/>
    </row>
    <row r="121" spans="1:11" x14ac:dyDescent="0.25">
      <c r="A121" t="s">
        <v>8</v>
      </c>
      <c r="B121" t="s">
        <v>9</v>
      </c>
      <c r="C121" s="4">
        <v>4300</v>
      </c>
      <c r="D121" s="15">
        <v>1053.2604437588573</v>
      </c>
      <c r="E121" s="30"/>
      <c r="F121" s="3">
        <v>7.0000000000000007E-2</v>
      </c>
      <c r="H121" s="5"/>
      <c r="I121" s="5"/>
      <c r="J121" s="16"/>
      <c r="K121" s="5"/>
    </row>
    <row r="122" spans="1:11" x14ac:dyDescent="0.25">
      <c r="A122" t="s">
        <v>64</v>
      </c>
      <c r="B122" t="s">
        <v>65</v>
      </c>
      <c r="C122" s="4">
        <v>8000</v>
      </c>
      <c r="D122" s="15">
        <v>1959.5543139699671</v>
      </c>
      <c r="E122" s="30"/>
      <c r="F122" s="3">
        <v>0.06</v>
      </c>
      <c r="G122">
        <v>1</v>
      </c>
      <c r="H122" s="5"/>
      <c r="I122" s="5"/>
      <c r="J122" s="16"/>
      <c r="K122" s="5"/>
    </row>
    <row r="123" spans="1:11" x14ac:dyDescent="0.25">
      <c r="A123" t="s">
        <v>42</v>
      </c>
      <c r="B123" t="s">
        <v>43</v>
      </c>
      <c r="C123" s="4">
        <v>2800</v>
      </c>
      <c r="D123" s="15">
        <v>685.84400988948846</v>
      </c>
      <c r="E123" s="30"/>
      <c r="F123" s="3">
        <v>0.05</v>
      </c>
      <c r="G123">
        <v>1</v>
      </c>
      <c r="H123" s="5"/>
      <c r="I123" s="5"/>
      <c r="J123" s="16"/>
      <c r="K123" s="5"/>
    </row>
    <row r="124" spans="1:11" x14ac:dyDescent="0.25">
      <c r="A124" t="s">
        <v>14</v>
      </c>
      <c r="B124" t="s">
        <v>15</v>
      </c>
      <c r="C124" s="4">
        <v>2900</v>
      </c>
      <c r="D124" s="15">
        <v>710.33843881411303</v>
      </c>
      <c r="E124" s="30"/>
      <c r="F124" s="3">
        <v>0.04</v>
      </c>
      <c r="H124" s="5"/>
      <c r="I124" s="5"/>
      <c r="J124" s="16"/>
      <c r="K124" s="5"/>
    </row>
    <row r="125" spans="1:11" x14ac:dyDescent="0.25">
      <c r="A125" t="s">
        <v>66</v>
      </c>
      <c r="B125" t="s">
        <v>13</v>
      </c>
      <c r="C125" s="4">
        <v>2900</v>
      </c>
      <c r="D125" s="15">
        <v>710.33843881411303</v>
      </c>
      <c r="E125" s="30"/>
      <c r="F125" s="3">
        <v>7.0000000000000007E-2</v>
      </c>
      <c r="H125" s="5"/>
      <c r="I125" s="5"/>
      <c r="J125" s="16"/>
      <c r="K125" s="5"/>
    </row>
    <row r="126" spans="1:11" x14ac:dyDescent="0.25">
      <c r="A126" t="s">
        <v>29</v>
      </c>
      <c r="B126" t="s">
        <v>30</v>
      </c>
      <c r="C126" s="4">
        <v>4500</v>
      </c>
      <c r="D126" s="15">
        <v>1102.2493016081064</v>
      </c>
      <c r="E126" s="30"/>
      <c r="F126" s="3">
        <v>0.05</v>
      </c>
      <c r="G126">
        <v>1</v>
      </c>
      <c r="H126" s="5"/>
      <c r="I126" s="5"/>
      <c r="J126" s="16"/>
      <c r="K126" s="5"/>
    </row>
    <row r="127" spans="1:11" x14ac:dyDescent="0.25">
      <c r="A127" t="s">
        <v>16</v>
      </c>
      <c r="B127" t="s">
        <v>17</v>
      </c>
      <c r="C127" s="4">
        <v>20000</v>
      </c>
      <c r="D127" s="15">
        <v>4898.885784924918</v>
      </c>
      <c r="E127" s="30"/>
      <c r="F127" s="3">
        <v>0.06</v>
      </c>
      <c r="G127">
        <v>2</v>
      </c>
      <c r="H127" s="5"/>
      <c r="I127" s="5"/>
      <c r="J127" s="16"/>
      <c r="K127" s="5"/>
    </row>
    <row r="128" spans="1:11" x14ac:dyDescent="0.25">
      <c r="A128" t="s">
        <v>76</v>
      </c>
      <c r="B128" t="s">
        <v>77</v>
      </c>
      <c r="C128" s="4">
        <v>4300</v>
      </c>
      <c r="D128" s="15">
        <v>1053.2604437588573</v>
      </c>
      <c r="E128" s="30"/>
      <c r="F128" s="3">
        <v>0.04</v>
      </c>
      <c r="G128">
        <v>2</v>
      </c>
      <c r="H128" s="5"/>
      <c r="I128" s="5"/>
      <c r="J128" s="16"/>
      <c r="K128" s="5"/>
    </row>
    <row r="129" spans="1:11" x14ac:dyDescent="0.25">
      <c r="A129" t="s">
        <v>39</v>
      </c>
      <c r="B129" t="s">
        <v>30</v>
      </c>
      <c r="C129" s="4">
        <v>2900</v>
      </c>
      <c r="D129" s="15">
        <v>710.33843881411303</v>
      </c>
      <c r="E129" s="30"/>
      <c r="F129" s="3">
        <v>0.1</v>
      </c>
      <c r="H129" s="5"/>
      <c r="I129" s="5"/>
      <c r="J129" s="16"/>
      <c r="K129" s="5"/>
    </row>
    <row r="130" spans="1:11" x14ac:dyDescent="0.25">
      <c r="A130" t="s">
        <v>29</v>
      </c>
      <c r="B130" t="s">
        <v>9</v>
      </c>
      <c r="C130" s="4">
        <v>3800</v>
      </c>
      <c r="D130" s="15">
        <v>930.78829913573441</v>
      </c>
      <c r="E130" s="30"/>
      <c r="F130" s="3">
        <v>7.0000000000000007E-2</v>
      </c>
      <c r="H130" s="5"/>
      <c r="I130" s="5"/>
      <c r="J130" s="16"/>
      <c r="K130" s="5"/>
    </row>
    <row r="131" spans="1:11" x14ac:dyDescent="0.25">
      <c r="A131" t="s">
        <v>12</v>
      </c>
      <c r="B131" t="s">
        <v>30</v>
      </c>
      <c r="C131" s="4">
        <v>6200</v>
      </c>
      <c r="D131" s="15">
        <v>1518.6545933267246</v>
      </c>
      <c r="E131" s="30"/>
      <c r="F131" s="3">
        <v>0.1</v>
      </c>
      <c r="G131">
        <v>2</v>
      </c>
      <c r="H131" s="5"/>
      <c r="I131" s="5"/>
      <c r="J131" s="16"/>
      <c r="K131" s="5"/>
    </row>
    <row r="132" spans="1:11" x14ac:dyDescent="0.25">
      <c r="A132" t="s">
        <v>14</v>
      </c>
      <c r="B132" t="s">
        <v>15</v>
      </c>
      <c r="C132" s="4">
        <v>11000</v>
      </c>
      <c r="D132" s="15">
        <v>2694.3871817087047</v>
      </c>
      <c r="E132" s="30"/>
      <c r="F132" s="3">
        <v>0.06</v>
      </c>
      <c r="G132">
        <v>1</v>
      </c>
      <c r="H132" s="5"/>
      <c r="I132" s="5"/>
      <c r="J132" s="16"/>
      <c r="K132" s="5"/>
    </row>
    <row r="133" spans="1:11" x14ac:dyDescent="0.25">
      <c r="A133" t="s">
        <v>18</v>
      </c>
      <c r="B133" t="s">
        <v>19</v>
      </c>
      <c r="C133" s="4">
        <v>6200</v>
      </c>
      <c r="D133" s="15">
        <v>1518.6545933267246</v>
      </c>
      <c r="E133" s="30"/>
      <c r="F133" s="3">
        <v>0.05</v>
      </c>
      <c r="G133">
        <v>2</v>
      </c>
      <c r="H133" s="5"/>
      <c r="I133" s="5"/>
      <c r="J133" s="16"/>
      <c r="K133" s="5"/>
    </row>
    <row r="134" spans="1:11" x14ac:dyDescent="0.25">
      <c r="A134" t="s">
        <v>40</v>
      </c>
      <c r="B134" t="s">
        <v>41</v>
      </c>
      <c r="C134" s="4">
        <v>4100</v>
      </c>
      <c r="D134" s="15">
        <v>1004.2715859096081</v>
      </c>
      <c r="E134" s="30"/>
      <c r="F134" s="3">
        <v>7.0000000000000007E-2</v>
      </c>
      <c r="H134" s="5"/>
      <c r="I134" s="5"/>
      <c r="J134" s="16"/>
      <c r="K134" s="5"/>
    </row>
    <row r="135" spans="1:11" x14ac:dyDescent="0.25">
      <c r="A135" t="s">
        <v>78</v>
      </c>
      <c r="B135" t="s">
        <v>63</v>
      </c>
      <c r="C135" s="4">
        <v>4300</v>
      </c>
      <c r="D135" s="15">
        <v>1053.2604437588573</v>
      </c>
      <c r="E135" s="30"/>
      <c r="F135" s="3">
        <v>0.06</v>
      </c>
      <c r="G135">
        <v>1</v>
      </c>
      <c r="H135" s="5"/>
      <c r="I135" s="5"/>
      <c r="J135" s="16"/>
      <c r="K135" s="5"/>
    </row>
    <row r="136" spans="1:11" x14ac:dyDescent="0.25">
      <c r="A136" t="s">
        <v>18</v>
      </c>
      <c r="B136" t="s">
        <v>19</v>
      </c>
      <c r="C136" s="4">
        <v>12200</v>
      </c>
      <c r="D136" s="15">
        <v>2988.3203288042</v>
      </c>
      <c r="E136" s="30"/>
      <c r="F136" s="3">
        <v>0.09</v>
      </c>
      <c r="H136" s="5"/>
      <c r="I136" s="5"/>
      <c r="J136" s="16"/>
      <c r="K136" s="5"/>
    </row>
    <row r="137" spans="1:11" x14ac:dyDescent="0.25">
      <c r="A137" t="s">
        <v>52</v>
      </c>
      <c r="B137" t="s">
        <v>53</v>
      </c>
      <c r="C137" s="4">
        <v>6200</v>
      </c>
      <c r="D137" s="15">
        <v>1518.6545933267246</v>
      </c>
      <c r="E137" s="30"/>
      <c r="F137" s="3">
        <v>0.1</v>
      </c>
      <c r="H137" s="5"/>
      <c r="I137" s="5"/>
      <c r="J137" s="16"/>
      <c r="K137" s="5"/>
    </row>
    <row r="138" spans="1:11" x14ac:dyDescent="0.25">
      <c r="A138" t="s">
        <v>26</v>
      </c>
      <c r="B138" t="s">
        <v>9</v>
      </c>
      <c r="C138" s="4">
        <v>4500</v>
      </c>
      <c r="D138" s="15">
        <v>1102.2493016081064</v>
      </c>
      <c r="E138" s="30"/>
      <c r="F138" s="3">
        <v>0.09</v>
      </c>
      <c r="G138">
        <v>2</v>
      </c>
      <c r="H138" s="5"/>
      <c r="I138" s="5"/>
      <c r="J138" s="16"/>
      <c r="K138" s="5"/>
    </row>
    <row r="139" spans="1:11" x14ac:dyDescent="0.25">
      <c r="A139" t="s">
        <v>84</v>
      </c>
      <c r="B139" t="s">
        <v>85</v>
      </c>
      <c r="C139" s="4">
        <v>3800</v>
      </c>
      <c r="D139" s="15">
        <v>930.78829913573441</v>
      </c>
      <c r="E139" s="30"/>
      <c r="F139" s="3">
        <v>0.05</v>
      </c>
      <c r="G139">
        <v>1</v>
      </c>
      <c r="H139" s="5"/>
      <c r="I139" s="5"/>
      <c r="J139" s="16"/>
      <c r="K139" s="5"/>
    </row>
    <row r="140" spans="1:11" x14ac:dyDescent="0.25">
      <c r="A140" t="s">
        <v>29</v>
      </c>
      <c r="B140" t="s">
        <v>30</v>
      </c>
      <c r="C140" s="4">
        <v>16000</v>
      </c>
      <c r="D140" s="15">
        <v>3919.1086279399342</v>
      </c>
      <c r="E140" s="30"/>
      <c r="F140" s="3">
        <v>0.15</v>
      </c>
      <c r="H140" s="5"/>
      <c r="I140" s="5"/>
      <c r="J140" s="16"/>
      <c r="K140" s="5"/>
    </row>
    <row r="141" spans="1:11" x14ac:dyDescent="0.25">
      <c r="A141" t="s">
        <v>8</v>
      </c>
      <c r="B141" t="s">
        <v>9</v>
      </c>
      <c r="C141" s="4">
        <v>25000</v>
      </c>
      <c r="D141" s="15">
        <v>6123.6072311561475</v>
      </c>
      <c r="E141" s="30"/>
      <c r="F141" s="3">
        <v>0.08</v>
      </c>
      <c r="H141" s="5"/>
      <c r="I141" s="5"/>
      <c r="J141" s="16"/>
      <c r="K141" s="5"/>
    </row>
    <row r="142" spans="1:11" x14ac:dyDescent="0.25">
      <c r="A142" t="s">
        <v>73</v>
      </c>
      <c r="B142" t="s">
        <v>74</v>
      </c>
      <c r="C142" s="4">
        <v>15400</v>
      </c>
      <c r="D142" s="15">
        <v>3772.1420543921868</v>
      </c>
      <c r="E142" s="30"/>
      <c r="F142" s="3">
        <v>0.06</v>
      </c>
      <c r="G142">
        <v>1</v>
      </c>
      <c r="H142" s="5"/>
      <c r="I142" s="5"/>
      <c r="J142" s="16"/>
      <c r="K142" s="5"/>
    </row>
    <row r="143" spans="1:11" x14ac:dyDescent="0.25">
      <c r="A143" t="s">
        <v>33</v>
      </c>
      <c r="B143" t="s">
        <v>34</v>
      </c>
      <c r="C143" s="4">
        <v>13500</v>
      </c>
      <c r="D143" s="15">
        <v>3306.7479048243194</v>
      </c>
      <c r="E143" s="30"/>
      <c r="F143" s="3">
        <v>0.1</v>
      </c>
      <c r="H143" s="5"/>
      <c r="I143" s="5"/>
      <c r="J143" s="16"/>
      <c r="K143" s="5"/>
    </row>
    <row r="144" spans="1:11" x14ac:dyDescent="0.25">
      <c r="A144" t="s">
        <v>29</v>
      </c>
      <c r="B144" t="s">
        <v>9</v>
      </c>
      <c r="C144" s="4">
        <v>2900</v>
      </c>
      <c r="D144" s="15">
        <v>710.33843881411303</v>
      </c>
      <c r="E144" s="30"/>
      <c r="F144" s="3">
        <v>0.15</v>
      </c>
      <c r="G144">
        <v>2</v>
      </c>
      <c r="H144" s="5"/>
      <c r="I144" s="5"/>
      <c r="J144" s="16"/>
      <c r="K144" s="5"/>
    </row>
    <row r="145" spans="1:11" x14ac:dyDescent="0.25">
      <c r="A145" t="s">
        <v>50</v>
      </c>
      <c r="B145" t="s">
        <v>51</v>
      </c>
      <c r="C145" s="4">
        <v>4500</v>
      </c>
      <c r="D145" s="15">
        <v>1102.2493016081064</v>
      </c>
      <c r="E145" s="30"/>
      <c r="F145" s="3">
        <v>7.0000000000000007E-2</v>
      </c>
      <c r="G145">
        <v>1</v>
      </c>
      <c r="H145" s="5"/>
      <c r="I145" s="5"/>
      <c r="J145" s="16"/>
      <c r="K145" s="5"/>
    </row>
    <row r="146" spans="1:11" x14ac:dyDescent="0.25">
      <c r="A146" t="s">
        <v>35</v>
      </c>
      <c r="B146" t="s">
        <v>36</v>
      </c>
      <c r="C146" s="4">
        <v>4300</v>
      </c>
      <c r="D146" s="15">
        <v>1053.2604437588573</v>
      </c>
      <c r="E146" s="30"/>
      <c r="F146" s="3">
        <v>0.1</v>
      </c>
      <c r="H146" s="5"/>
      <c r="I146" s="5"/>
      <c r="J146" s="16"/>
      <c r="K146" s="5"/>
    </row>
    <row r="147" spans="1:11" x14ac:dyDescent="0.25">
      <c r="A147" t="s">
        <v>12</v>
      </c>
      <c r="B147" t="s">
        <v>30</v>
      </c>
      <c r="C147" s="4">
        <v>2900</v>
      </c>
      <c r="D147" s="15">
        <v>710.33843881411303</v>
      </c>
      <c r="E147" s="30"/>
      <c r="F147" s="3">
        <v>0.15</v>
      </c>
      <c r="H147" s="5"/>
      <c r="I147" s="5"/>
      <c r="J147" s="16"/>
      <c r="K147" s="5"/>
    </row>
    <row r="148" spans="1:11" x14ac:dyDescent="0.25">
      <c r="A148" t="s">
        <v>12</v>
      </c>
      <c r="B148" t="s">
        <v>13</v>
      </c>
      <c r="C148" s="4">
        <v>4200</v>
      </c>
      <c r="D148" s="15">
        <v>1028.7660148342327</v>
      </c>
      <c r="E148" s="30"/>
      <c r="F148" s="3">
        <v>7.0000000000000007E-2</v>
      </c>
      <c r="H148" s="5"/>
      <c r="I148" s="5"/>
      <c r="J148" s="16"/>
      <c r="K148" s="5"/>
    </row>
    <row r="149" spans="1:11" x14ac:dyDescent="0.25">
      <c r="A149" t="s">
        <v>14</v>
      </c>
      <c r="B149" t="s">
        <v>15</v>
      </c>
      <c r="C149" s="4">
        <v>2900</v>
      </c>
      <c r="D149" s="15">
        <v>710.33843881411303</v>
      </c>
      <c r="E149" s="30"/>
      <c r="F149" s="3">
        <v>0.06</v>
      </c>
      <c r="H149" s="5"/>
      <c r="I149" s="5"/>
      <c r="J149" s="16"/>
      <c r="K149" s="5"/>
    </row>
    <row r="150" spans="1:11" x14ac:dyDescent="0.25">
      <c r="A150" t="s">
        <v>25</v>
      </c>
      <c r="B150" t="s">
        <v>24</v>
      </c>
      <c r="C150" s="4">
        <v>8000</v>
      </c>
      <c r="D150" s="15">
        <v>1959.5543139699671</v>
      </c>
      <c r="E150" s="30"/>
      <c r="F150" s="3">
        <v>0.06</v>
      </c>
      <c r="G150">
        <v>1</v>
      </c>
      <c r="H150" s="5"/>
      <c r="I150" s="5"/>
      <c r="J150" s="16"/>
      <c r="K150" s="5"/>
    </row>
    <row r="151" spans="1:11" x14ac:dyDescent="0.25">
      <c r="A151" t="s">
        <v>48</v>
      </c>
      <c r="B151" t="s">
        <v>49</v>
      </c>
      <c r="C151" s="4">
        <v>4300</v>
      </c>
      <c r="D151" s="15">
        <v>1053.2604437588573</v>
      </c>
      <c r="E151" s="30"/>
      <c r="F151" s="3">
        <v>0.06</v>
      </c>
      <c r="G151">
        <v>3</v>
      </c>
      <c r="H151" s="5"/>
      <c r="I151" s="5"/>
      <c r="J151" s="16"/>
      <c r="K151" s="5"/>
    </row>
    <row r="152" spans="1:11" x14ac:dyDescent="0.25">
      <c r="A152" t="s">
        <v>2</v>
      </c>
      <c r="B152" t="s">
        <v>3</v>
      </c>
      <c r="C152" s="4">
        <v>5000</v>
      </c>
      <c r="D152" s="15">
        <v>1224.7214462312295</v>
      </c>
      <c r="E152" s="30"/>
      <c r="F152" s="3">
        <v>0.05</v>
      </c>
      <c r="H152" s="5"/>
      <c r="I152" s="5"/>
      <c r="J152" s="16"/>
      <c r="K152" s="5"/>
    </row>
    <row r="153" spans="1:11" x14ac:dyDescent="0.25">
      <c r="A153" t="s">
        <v>22</v>
      </c>
      <c r="B153" t="s">
        <v>23</v>
      </c>
      <c r="C153" s="4">
        <v>23300</v>
      </c>
      <c r="D153" s="15">
        <v>5707.2019394375293</v>
      </c>
      <c r="E153" s="30"/>
      <c r="F153" s="3">
        <v>0.06</v>
      </c>
      <c r="H153" s="5"/>
      <c r="I153" s="5"/>
      <c r="J153" s="16"/>
      <c r="K153" s="5"/>
    </row>
    <row r="154" spans="1:11" x14ac:dyDescent="0.25">
      <c r="A154" t="s">
        <v>12</v>
      </c>
      <c r="B154" t="s">
        <v>13</v>
      </c>
      <c r="C154" s="4">
        <v>4200</v>
      </c>
      <c r="D154" s="15">
        <v>1028.7660148342327</v>
      </c>
      <c r="E154" s="30"/>
      <c r="F154" s="3">
        <v>0.05</v>
      </c>
      <c r="G154">
        <v>2</v>
      </c>
      <c r="H154" s="5"/>
      <c r="I154" s="5"/>
      <c r="J154" s="16"/>
      <c r="K154" s="5"/>
    </row>
    <row r="155" spans="1:11" x14ac:dyDescent="0.25">
      <c r="A155" t="s">
        <v>69</v>
      </c>
      <c r="B155" t="s">
        <v>70</v>
      </c>
      <c r="C155" s="4">
        <v>10000</v>
      </c>
      <c r="D155" s="15">
        <v>2449.442892462459</v>
      </c>
      <c r="E155" s="30"/>
      <c r="F155" s="3">
        <v>0.09</v>
      </c>
      <c r="G155">
        <v>1</v>
      </c>
      <c r="H155" s="5"/>
      <c r="I155" s="5"/>
      <c r="J155" s="16"/>
      <c r="K155" s="5"/>
    </row>
    <row r="156" spans="1:11" x14ac:dyDescent="0.25">
      <c r="A156" t="s">
        <v>75</v>
      </c>
      <c r="B156" t="s">
        <v>21</v>
      </c>
      <c r="C156" s="4">
        <v>4100</v>
      </c>
      <c r="D156" s="15">
        <v>1004.2715859096081</v>
      </c>
      <c r="E156" s="30"/>
      <c r="F156" s="3">
        <v>0.15</v>
      </c>
      <c r="H156" s="5"/>
      <c r="I156" s="5"/>
      <c r="J156" s="16"/>
      <c r="K156" s="5"/>
    </row>
    <row r="157" spans="1:11" x14ac:dyDescent="0.25">
      <c r="A157" t="s">
        <v>20</v>
      </c>
      <c r="B157" t="s">
        <v>21</v>
      </c>
      <c r="C157" s="4">
        <v>7700</v>
      </c>
      <c r="D157" s="15">
        <v>1886.0710271960934</v>
      </c>
      <c r="E157" s="30"/>
      <c r="F157" s="3">
        <v>0.05</v>
      </c>
      <c r="G157">
        <v>3</v>
      </c>
      <c r="H157" s="5"/>
      <c r="I157" s="5"/>
      <c r="J157" s="16"/>
      <c r="K157" s="5"/>
    </row>
    <row r="158" spans="1:11" x14ac:dyDescent="0.25">
      <c r="A158" t="s">
        <v>4</v>
      </c>
      <c r="B158" t="s">
        <v>5</v>
      </c>
      <c r="C158" s="4">
        <v>4100</v>
      </c>
      <c r="D158" s="15">
        <v>1004.2715859096081</v>
      </c>
      <c r="E158" s="30"/>
      <c r="F158" s="3">
        <v>0.04</v>
      </c>
      <c r="G158">
        <v>1</v>
      </c>
      <c r="H158" s="5"/>
      <c r="I158" s="5"/>
      <c r="J158" s="16"/>
      <c r="K158" s="5"/>
    </row>
    <row r="159" spans="1:11" x14ac:dyDescent="0.25">
      <c r="A159" t="s">
        <v>16</v>
      </c>
      <c r="B159" t="s">
        <v>17</v>
      </c>
      <c r="C159" s="4">
        <v>7700</v>
      </c>
      <c r="D159" s="15">
        <v>1886.0710271960934</v>
      </c>
      <c r="E159" s="30"/>
      <c r="F159" s="3">
        <v>0.05</v>
      </c>
      <c r="H159" s="5"/>
      <c r="I159" s="5"/>
      <c r="J159" s="16"/>
      <c r="K159" s="5"/>
    </row>
    <row r="160" spans="1:11" x14ac:dyDescent="0.25">
      <c r="A160" t="s">
        <v>81</v>
      </c>
      <c r="B160" t="s">
        <v>23</v>
      </c>
      <c r="C160" s="4">
        <v>23300</v>
      </c>
      <c r="D160" s="15">
        <v>5707.2019394375293</v>
      </c>
      <c r="E160" s="30"/>
      <c r="F160" s="3">
        <v>7.0000000000000007E-2</v>
      </c>
      <c r="H160" s="5"/>
      <c r="I160" s="5"/>
      <c r="J160" s="16"/>
      <c r="K160" s="5"/>
    </row>
    <row r="161" spans="1:11" x14ac:dyDescent="0.25">
      <c r="A161" t="s">
        <v>12</v>
      </c>
      <c r="B161" t="s">
        <v>3</v>
      </c>
      <c r="C161" s="4">
        <v>13500</v>
      </c>
      <c r="D161" s="15">
        <v>3306.7479048243194</v>
      </c>
      <c r="E161" s="30"/>
      <c r="F161" s="3">
        <v>0.04</v>
      </c>
      <c r="H161" s="5"/>
      <c r="I161" s="5"/>
      <c r="J161" s="16"/>
      <c r="K161" s="5"/>
    </row>
    <row r="162" spans="1:11" x14ac:dyDescent="0.25">
      <c r="A162" t="s">
        <v>35</v>
      </c>
      <c r="B162" t="s">
        <v>36</v>
      </c>
      <c r="C162" s="4">
        <v>12200</v>
      </c>
      <c r="D162" s="15">
        <v>2988.3203288042</v>
      </c>
      <c r="E162" s="30"/>
      <c r="F162" s="3">
        <v>0.1</v>
      </c>
      <c r="H162" s="5"/>
      <c r="I162" s="5"/>
      <c r="J162" s="16"/>
      <c r="K162" s="5"/>
    </row>
    <row r="163" spans="1:11" x14ac:dyDescent="0.25">
      <c r="A163" t="s">
        <v>50</v>
      </c>
      <c r="B163" t="s">
        <v>51</v>
      </c>
      <c r="C163" s="4">
        <v>2900</v>
      </c>
      <c r="D163" s="15">
        <v>710.33843881411303</v>
      </c>
      <c r="E163" s="30"/>
      <c r="F163" s="3">
        <v>0.1</v>
      </c>
      <c r="H163" s="5"/>
      <c r="I163" s="5"/>
      <c r="J163" s="16"/>
      <c r="K163" s="5"/>
    </row>
    <row r="164" spans="1:11" x14ac:dyDescent="0.25">
      <c r="A164" t="s">
        <v>12</v>
      </c>
      <c r="B164" t="s">
        <v>13</v>
      </c>
      <c r="C164" s="4">
        <v>4300</v>
      </c>
      <c r="D164" s="15">
        <v>1053.2604437588573</v>
      </c>
      <c r="E164" s="30"/>
      <c r="F164" s="3">
        <v>0.05</v>
      </c>
      <c r="H164" s="5"/>
      <c r="I164" s="5"/>
      <c r="J164" s="16"/>
      <c r="K164" s="5"/>
    </row>
    <row r="165" spans="1:11" x14ac:dyDescent="0.25">
      <c r="A165" t="s">
        <v>60</v>
      </c>
      <c r="B165" t="s">
        <v>61</v>
      </c>
      <c r="C165" s="4">
        <v>2800</v>
      </c>
      <c r="D165" s="15">
        <v>685.84400988948846</v>
      </c>
      <c r="E165" s="30"/>
      <c r="F165" s="3">
        <v>7.0000000000000007E-2</v>
      </c>
      <c r="G165">
        <v>1</v>
      </c>
      <c r="H165" s="5"/>
      <c r="I165" s="5"/>
      <c r="J165" s="16"/>
      <c r="K165" s="5"/>
    </row>
    <row r="166" spans="1:11" x14ac:dyDescent="0.25">
      <c r="A166" t="s">
        <v>12</v>
      </c>
      <c r="B166" t="s">
        <v>86</v>
      </c>
      <c r="C166" s="4">
        <v>2900</v>
      </c>
      <c r="D166" s="15">
        <v>710.33843881411303</v>
      </c>
      <c r="E166" s="30"/>
      <c r="F166" s="3">
        <v>0.04</v>
      </c>
      <c r="H166" s="5"/>
      <c r="I166" s="5"/>
      <c r="J166" s="16"/>
      <c r="K166" s="5"/>
    </row>
    <row r="167" spans="1:11" x14ac:dyDescent="0.25">
      <c r="A167" t="s">
        <v>2</v>
      </c>
      <c r="B167" t="s">
        <v>3</v>
      </c>
      <c r="C167" s="4">
        <v>6200</v>
      </c>
      <c r="D167" s="15">
        <v>1518.6545933267246</v>
      </c>
      <c r="E167" s="30"/>
      <c r="F167" s="3">
        <v>0.04</v>
      </c>
      <c r="H167" s="5"/>
      <c r="I167" s="5"/>
      <c r="J167" s="16"/>
      <c r="K167" s="5"/>
    </row>
    <row r="168" spans="1:11" x14ac:dyDescent="0.25">
      <c r="A168" t="s">
        <v>66</v>
      </c>
      <c r="B168" t="s">
        <v>13</v>
      </c>
      <c r="C168" s="4">
        <v>2900</v>
      </c>
      <c r="D168" s="15">
        <v>710.33843881411303</v>
      </c>
      <c r="E168" s="30"/>
      <c r="F168" s="3">
        <v>0.05</v>
      </c>
      <c r="G168">
        <v>1</v>
      </c>
      <c r="H168" s="5"/>
      <c r="I168" s="5"/>
      <c r="J168" s="16"/>
      <c r="K168" s="5"/>
    </row>
    <row r="169" spans="1:11" x14ac:dyDescent="0.25">
      <c r="A169" t="s">
        <v>84</v>
      </c>
      <c r="B169" t="s">
        <v>85</v>
      </c>
      <c r="C169" s="4">
        <v>4600</v>
      </c>
      <c r="D169" s="15">
        <v>1126.743730532731</v>
      </c>
      <c r="E169" s="30"/>
      <c r="F169" s="3">
        <v>0.15</v>
      </c>
      <c r="H169" s="5"/>
      <c r="I169" s="5"/>
      <c r="J169" s="16"/>
      <c r="K169" s="5"/>
    </row>
    <row r="170" spans="1:11" x14ac:dyDescent="0.25">
      <c r="A170" t="s">
        <v>16</v>
      </c>
      <c r="B170" t="s">
        <v>17</v>
      </c>
      <c r="C170" s="4">
        <v>5000</v>
      </c>
      <c r="D170" s="15">
        <v>1224.7214462312295</v>
      </c>
      <c r="E170" s="30"/>
      <c r="F170" s="3">
        <v>0.1</v>
      </c>
      <c r="G170">
        <v>1</v>
      </c>
      <c r="H170" s="5"/>
      <c r="I170" s="5"/>
      <c r="J170" s="16"/>
      <c r="K170" s="5"/>
    </row>
    <row r="171" spans="1:11" x14ac:dyDescent="0.25">
      <c r="A171" t="s">
        <v>52</v>
      </c>
      <c r="B171" t="s">
        <v>53</v>
      </c>
      <c r="C171" s="4">
        <v>4200</v>
      </c>
      <c r="D171" s="15">
        <v>1028.7660148342327</v>
      </c>
      <c r="E171" s="30"/>
      <c r="F171" s="3">
        <v>0.05</v>
      </c>
      <c r="G171">
        <v>1</v>
      </c>
      <c r="H171" s="5"/>
      <c r="I171" s="5"/>
      <c r="J171" s="16"/>
      <c r="K171" s="5"/>
    </row>
    <row r="172" spans="1:11" x14ac:dyDescent="0.25">
      <c r="A172" t="s">
        <v>16</v>
      </c>
      <c r="B172" t="s">
        <v>17</v>
      </c>
      <c r="C172" s="4">
        <v>13500</v>
      </c>
      <c r="D172" s="15">
        <v>3306.7479048243194</v>
      </c>
      <c r="E172" s="30"/>
      <c r="F172" s="3">
        <v>0.06</v>
      </c>
      <c r="G172">
        <v>1</v>
      </c>
      <c r="H172" s="5"/>
      <c r="I172" s="5"/>
      <c r="J172" s="16"/>
      <c r="K172" s="5"/>
    </row>
    <row r="173" spans="1:11" x14ac:dyDescent="0.25">
      <c r="A173" t="s">
        <v>29</v>
      </c>
      <c r="B173" t="s">
        <v>30</v>
      </c>
      <c r="C173" s="4">
        <v>3400</v>
      </c>
      <c r="D173" s="15">
        <v>832.81058343723601</v>
      </c>
      <c r="E173" s="30"/>
      <c r="F173" s="3">
        <v>7.0000000000000007E-2</v>
      </c>
      <c r="G173">
        <v>1</v>
      </c>
      <c r="H173" s="5"/>
      <c r="I173" s="5"/>
      <c r="J173" s="16"/>
      <c r="K173" s="5"/>
    </row>
    <row r="174" spans="1:11" x14ac:dyDescent="0.25">
      <c r="A174" t="s">
        <v>39</v>
      </c>
      <c r="B174" t="s">
        <v>30</v>
      </c>
      <c r="C174" s="4">
        <v>4300</v>
      </c>
      <c r="D174" s="15">
        <v>1053.2604437588573</v>
      </c>
      <c r="E174" s="30"/>
      <c r="F174" s="3">
        <v>7.0000000000000007E-2</v>
      </c>
      <c r="G174">
        <v>1</v>
      </c>
      <c r="H174" s="5"/>
      <c r="I174" s="5"/>
      <c r="J174" s="16"/>
      <c r="K174" s="5"/>
    </row>
    <row r="175" spans="1:11" x14ac:dyDescent="0.25">
      <c r="A175" t="s">
        <v>40</v>
      </c>
      <c r="B175" t="s">
        <v>41</v>
      </c>
      <c r="C175" s="4">
        <v>3800</v>
      </c>
      <c r="D175" s="15">
        <v>930.78829913573441</v>
      </c>
      <c r="E175" s="30"/>
      <c r="F175" s="3">
        <v>0.09</v>
      </c>
      <c r="G175">
        <v>1</v>
      </c>
      <c r="H175" s="5"/>
      <c r="I175" s="5"/>
      <c r="J175" s="16"/>
      <c r="K175" s="5"/>
    </row>
    <row r="176" spans="1:11" x14ac:dyDescent="0.25">
      <c r="A176" t="s">
        <v>6</v>
      </c>
      <c r="B176" t="s">
        <v>7</v>
      </c>
      <c r="C176" s="4">
        <v>4300</v>
      </c>
      <c r="D176" s="15">
        <v>1053.2604437588573</v>
      </c>
      <c r="E176" s="30"/>
      <c r="F176" s="3">
        <v>0.05</v>
      </c>
      <c r="H176" s="5"/>
      <c r="I176" s="5"/>
      <c r="J176" s="16"/>
      <c r="K176" s="5"/>
    </row>
    <row r="177" spans="1:11" x14ac:dyDescent="0.25">
      <c r="A177" t="s">
        <v>10</v>
      </c>
      <c r="B177" t="s">
        <v>11</v>
      </c>
      <c r="C177" s="4">
        <v>2900</v>
      </c>
      <c r="D177" s="15">
        <v>710.33843881411303</v>
      </c>
      <c r="E177" s="30"/>
      <c r="F177" s="3">
        <v>0.15</v>
      </c>
      <c r="G177">
        <v>1</v>
      </c>
      <c r="H177" s="5"/>
      <c r="I177" s="5"/>
      <c r="J177" s="16"/>
      <c r="K177" s="5"/>
    </row>
    <row r="178" spans="1:11" x14ac:dyDescent="0.25">
      <c r="A178" t="s">
        <v>12</v>
      </c>
      <c r="B178" t="s">
        <v>24</v>
      </c>
      <c r="C178" s="4">
        <v>2900</v>
      </c>
      <c r="D178" s="15">
        <v>710.33843881411303</v>
      </c>
      <c r="E178" s="30"/>
      <c r="F178" s="3">
        <v>0.05</v>
      </c>
      <c r="G178">
        <v>3</v>
      </c>
      <c r="H178" s="5"/>
      <c r="I178" s="5"/>
      <c r="J178" s="16"/>
      <c r="K178" s="5"/>
    </row>
    <row r="179" spans="1:11" x14ac:dyDescent="0.25">
      <c r="A179" t="s">
        <v>4</v>
      </c>
      <c r="B179" t="s">
        <v>5</v>
      </c>
      <c r="C179" s="4">
        <v>12200</v>
      </c>
      <c r="D179" s="15">
        <v>2988.3203288042</v>
      </c>
      <c r="E179" s="30"/>
      <c r="F179" s="3">
        <v>0.04</v>
      </c>
      <c r="G179">
        <v>1</v>
      </c>
      <c r="H179" s="5"/>
      <c r="I179" s="5"/>
      <c r="J179" s="16"/>
      <c r="K179" s="5"/>
    </row>
    <row r="180" spans="1:11" x14ac:dyDescent="0.25">
      <c r="A180" t="s">
        <v>8</v>
      </c>
      <c r="B180" t="s">
        <v>9</v>
      </c>
      <c r="C180" s="4">
        <v>3400</v>
      </c>
      <c r="D180" s="15">
        <v>832.81058343723601</v>
      </c>
      <c r="E180" s="30"/>
      <c r="F180" s="3">
        <v>0.1</v>
      </c>
      <c r="H180" s="5"/>
      <c r="I180" s="5"/>
      <c r="J180" s="16"/>
      <c r="K180" s="5"/>
    </row>
    <row r="181" spans="1:11" x14ac:dyDescent="0.25">
      <c r="A181" t="s">
        <v>71</v>
      </c>
      <c r="B181" t="s">
        <v>72</v>
      </c>
      <c r="C181" s="4">
        <v>3800</v>
      </c>
      <c r="D181" s="15">
        <v>930.78829913573441</v>
      </c>
      <c r="E181" s="30"/>
      <c r="F181" s="3">
        <v>7.0000000000000007E-2</v>
      </c>
      <c r="H181" s="5"/>
      <c r="I181" s="5"/>
      <c r="J181" s="16"/>
      <c r="K181" s="5"/>
    </row>
    <row r="182" spans="1:11" x14ac:dyDescent="0.25">
      <c r="A182" t="s">
        <v>46</v>
      </c>
      <c r="B182" t="s">
        <v>47</v>
      </c>
      <c r="C182" s="4">
        <v>4100</v>
      </c>
      <c r="D182" s="15">
        <v>1004.2715859096081</v>
      </c>
      <c r="E182" s="30"/>
      <c r="F182" s="3">
        <v>0.09</v>
      </c>
      <c r="G182">
        <v>2</v>
      </c>
      <c r="H182" s="5"/>
      <c r="I182" s="5"/>
      <c r="J182" s="16"/>
      <c r="K182" s="5"/>
    </row>
    <row r="183" spans="1:11" x14ac:dyDescent="0.25">
      <c r="A183" t="s">
        <v>12</v>
      </c>
      <c r="B183" t="s">
        <v>3</v>
      </c>
      <c r="C183" s="4">
        <v>3800</v>
      </c>
      <c r="D183" s="15">
        <v>930.78829913573441</v>
      </c>
      <c r="E183" s="30"/>
      <c r="F183" s="3">
        <v>0.04</v>
      </c>
      <c r="H183" s="5"/>
      <c r="I183" s="5"/>
      <c r="J183" s="16"/>
      <c r="K183" s="5"/>
    </row>
    <row r="184" spans="1:11" x14ac:dyDescent="0.25">
      <c r="A184" t="s">
        <v>48</v>
      </c>
      <c r="B184" t="s">
        <v>49</v>
      </c>
      <c r="C184" s="4">
        <v>2900</v>
      </c>
      <c r="D184" s="15">
        <v>710.33843881411303</v>
      </c>
      <c r="E184" s="30"/>
      <c r="F184" s="3">
        <v>0.06</v>
      </c>
      <c r="G184">
        <v>1</v>
      </c>
      <c r="H184" s="5"/>
      <c r="I184" s="5"/>
      <c r="J184" s="16"/>
      <c r="K184" s="5"/>
    </row>
    <row r="185" spans="1:11" x14ac:dyDescent="0.25">
      <c r="A185" t="s">
        <v>71</v>
      </c>
      <c r="B185" t="s">
        <v>72</v>
      </c>
      <c r="C185" s="4">
        <v>3800</v>
      </c>
      <c r="D185" s="15">
        <v>930.78829913573441</v>
      </c>
      <c r="E185" s="30"/>
      <c r="F185" s="3">
        <v>7.0000000000000007E-2</v>
      </c>
      <c r="G185">
        <v>1</v>
      </c>
      <c r="H185" s="5"/>
      <c r="I185" s="5"/>
      <c r="J185" s="16"/>
      <c r="K185" s="5"/>
    </row>
    <row r="186" spans="1:11" x14ac:dyDescent="0.25">
      <c r="A186" t="s">
        <v>71</v>
      </c>
      <c r="B186" t="s">
        <v>72</v>
      </c>
      <c r="C186" s="4">
        <v>2900</v>
      </c>
      <c r="D186" s="15">
        <v>710.33843881411303</v>
      </c>
      <c r="E186" s="30"/>
      <c r="F186" s="3">
        <v>0.06</v>
      </c>
      <c r="H186" s="5"/>
      <c r="I186" s="5"/>
      <c r="J186" s="16"/>
      <c r="K186" s="5"/>
    </row>
    <row r="187" spans="1:11" x14ac:dyDescent="0.25">
      <c r="A187" t="s">
        <v>10</v>
      </c>
      <c r="B187" t="s">
        <v>11</v>
      </c>
      <c r="C187" s="4">
        <v>4500</v>
      </c>
      <c r="D187" s="15">
        <v>1102.2493016081064</v>
      </c>
      <c r="E187" s="30"/>
      <c r="F187" s="3">
        <v>0.05</v>
      </c>
      <c r="G187">
        <v>1</v>
      </c>
      <c r="H187" s="5"/>
      <c r="I187" s="5"/>
      <c r="J187" s="16"/>
      <c r="K187" s="5"/>
    </row>
    <row r="188" spans="1:11" x14ac:dyDescent="0.25">
      <c r="A188" t="s">
        <v>16</v>
      </c>
      <c r="B188" t="s">
        <v>17</v>
      </c>
      <c r="C188" s="4">
        <v>4300</v>
      </c>
      <c r="D188" s="15">
        <v>1053.2604437588573</v>
      </c>
      <c r="E188" s="30"/>
      <c r="F188" s="3">
        <v>0.15</v>
      </c>
      <c r="H188" s="5"/>
      <c r="I188" s="5"/>
      <c r="J188" s="16"/>
      <c r="K188" s="5"/>
    </row>
    <row r="189" spans="1:11" x14ac:dyDescent="0.25">
      <c r="A189" t="s">
        <v>52</v>
      </c>
      <c r="B189" t="s">
        <v>53</v>
      </c>
      <c r="C189" s="4">
        <v>3800</v>
      </c>
      <c r="D189" s="15">
        <v>930.78829913573441</v>
      </c>
      <c r="E189" s="30"/>
      <c r="F189" s="3">
        <v>0.06</v>
      </c>
      <c r="H189" s="5"/>
      <c r="I189" s="5"/>
      <c r="J189" s="16"/>
      <c r="K189" s="5"/>
    </row>
    <row r="190" spans="1:11" x14ac:dyDescent="0.25">
      <c r="A190" t="s">
        <v>50</v>
      </c>
      <c r="B190" t="s">
        <v>51</v>
      </c>
      <c r="C190" s="4">
        <v>2900</v>
      </c>
      <c r="D190" s="15">
        <v>710.33843881411303</v>
      </c>
      <c r="E190" s="30"/>
      <c r="F190" s="3">
        <v>0.15</v>
      </c>
      <c r="G190">
        <v>2</v>
      </c>
      <c r="H190" s="5"/>
      <c r="I190" s="5"/>
      <c r="J190" s="16"/>
      <c r="K190" s="5"/>
    </row>
    <row r="191" spans="1:11" x14ac:dyDescent="0.25">
      <c r="A191" t="s">
        <v>48</v>
      </c>
      <c r="B191" t="s">
        <v>49</v>
      </c>
      <c r="C191" s="4">
        <v>3800</v>
      </c>
      <c r="D191" s="15">
        <v>930.78829913573441</v>
      </c>
      <c r="E191" s="30"/>
      <c r="F191" s="3">
        <v>0.1</v>
      </c>
      <c r="H191" s="5"/>
      <c r="I191" s="5"/>
      <c r="J191" s="16"/>
      <c r="K191" s="5"/>
    </row>
    <row r="192" spans="1:11" x14ac:dyDescent="0.25">
      <c r="A192" t="s">
        <v>12</v>
      </c>
      <c r="B192" t="s">
        <v>3</v>
      </c>
      <c r="C192" s="4">
        <v>3400</v>
      </c>
      <c r="D192" s="15">
        <v>832.81058343723601</v>
      </c>
      <c r="E192" s="30"/>
      <c r="F192" s="3">
        <v>1.8444444444444399E-2</v>
      </c>
      <c r="H192" s="5"/>
      <c r="I192" s="5"/>
      <c r="J192" s="16"/>
      <c r="K192" s="5"/>
    </row>
    <row r="193" spans="1:11" x14ac:dyDescent="0.25">
      <c r="A193" t="s">
        <v>12</v>
      </c>
      <c r="B193" t="s">
        <v>3</v>
      </c>
      <c r="C193" s="4">
        <v>4100</v>
      </c>
      <c r="D193" s="15">
        <v>1004.2715859096081</v>
      </c>
      <c r="E193" s="30"/>
      <c r="F193" s="3">
        <v>0.15</v>
      </c>
      <c r="H193" s="5"/>
      <c r="I193" s="5"/>
      <c r="J193" s="16"/>
      <c r="K193" s="5"/>
    </row>
    <row r="194" spans="1:11" x14ac:dyDescent="0.25">
      <c r="A194" t="s">
        <v>56</v>
      </c>
      <c r="B194" t="s">
        <v>57</v>
      </c>
      <c r="C194" s="4">
        <v>2900</v>
      </c>
      <c r="D194" s="15">
        <v>710.33843881411303</v>
      </c>
      <c r="E194" s="30"/>
      <c r="F194" s="3">
        <v>0.06</v>
      </c>
      <c r="H194" s="5"/>
      <c r="I194" s="5"/>
      <c r="J194" s="16"/>
      <c r="K194" s="5"/>
    </row>
    <row r="195" spans="1:11" x14ac:dyDescent="0.25">
      <c r="A195" t="s">
        <v>27</v>
      </c>
      <c r="B195" t="s">
        <v>28</v>
      </c>
      <c r="C195" s="4">
        <v>20000</v>
      </c>
      <c r="D195" s="15">
        <v>4898.885784924918</v>
      </c>
      <c r="E195" s="30"/>
      <c r="F195" s="3">
        <v>0.1</v>
      </c>
      <c r="G195">
        <v>2</v>
      </c>
      <c r="H195" s="5"/>
      <c r="I195" s="5"/>
      <c r="J195" s="16"/>
      <c r="K195" s="5"/>
    </row>
    <row r="196" spans="1:11" x14ac:dyDescent="0.25">
      <c r="A196" t="s">
        <v>16</v>
      </c>
      <c r="B196" t="s">
        <v>17</v>
      </c>
      <c r="C196" s="4">
        <v>6200</v>
      </c>
      <c r="D196" s="15">
        <v>1518.6545933267246</v>
      </c>
      <c r="E196" s="30"/>
      <c r="F196" s="3">
        <v>0.06</v>
      </c>
      <c r="G196">
        <v>1</v>
      </c>
      <c r="H196" s="5"/>
      <c r="I196" s="5"/>
      <c r="J196" s="16"/>
      <c r="K196" s="5"/>
    </row>
    <row r="197" spans="1:11" x14ac:dyDescent="0.25">
      <c r="A197" t="s">
        <v>48</v>
      </c>
      <c r="B197" t="s">
        <v>49</v>
      </c>
      <c r="C197" s="4">
        <v>2900</v>
      </c>
      <c r="D197" s="15">
        <v>710.33843881411303</v>
      </c>
      <c r="E197" s="30"/>
      <c r="F197" s="3">
        <v>0.09</v>
      </c>
      <c r="H197" s="5"/>
      <c r="I197" s="5"/>
      <c r="J197" s="16"/>
      <c r="K197" s="5"/>
    </row>
    <row r="198" spans="1:11" x14ac:dyDescent="0.25">
      <c r="A198" t="s">
        <v>29</v>
      </c>
      <c r="B198" t="s">
        <v>30</v>
      </c>
      <c r="C198" s="4">
        <v>15400</v>
      </c>
      <c r="D198" s="15">
        <v>3772.1420543921868</v>
      </c>
      <c r="E198" s="30"/>
      <c r="F198" s="3">
        <v>7.0000000000000007E-2</v>
      </c>
      <c r="G198">
        <v>1</v>
      </c>
      <c r="H198" s="5"/>
      <c r="I198" s="5"/>
      <c r="J198" s="16"/>
      <c r="K198" s="5"/>
    </row>
    <row r="199" spans="1:11" x14ac:dyDescent="0.25">
      <c r="A199" t="s">
        <v>26</v>
      </c>
      <c r="B199" t="s">
        <v>9</v>
      </c>
      <c r="C199" s="4">
        <v>4300</v>
      </c>
      <c r="D199" s="15">
        <v>1053.2604437588573</v>
      </c>
      <c r="E199" s="30"/>
      <c r="F199" s="3">
        <v>0.05</v>
      </c>
      <c r="H199" s="5"/>
      <c r="I199" s="5"/>
      <c r="J199" s="16"/>
      <c r="K199" s="5"/>
    </row>
    <row r="200" spans="1:11" x14ac:dyDescent="0.25">
      <c r="A200" t="s">
        <v>84</v>
      </c>
      <c r="B200" t="s">
        <v>85</v>
      </c>
      <c r="C200" s="4">
        <v>4300</v>
      </c>
      <c r="D200" s="15">
        <v>1053.2604437588573</v>
      </c>
      <c r="E200" s="30"/>
      <c r="F200" s="3">
        <v>0.06</v>
      </c>
      <c r="H200" s="5"/>
      <c r="I200" s="5"/>
      <c r="J200" s="16"/>
      <c r="K200" s="5"/>
    </row>
    <row r="201" spans="1:11" x14ac:dyDescent="0.25">
      <c r="A201" t="s">
        <v>29</v>
      </c>
      <c r="B201" t="s">
        <v>30</v>
      </c>
      <c r="C201" s="4">
        <v>13500</v>
      </c>
      <c r="D201" s="15">
        <v>3306.7479048243194</v>
      </c>
      <c r="E201" s="30"/>
      <c r="F201" s="3">
        <v>0.1</v>
      </c>
      <c r="H201" s="5"/>
      <c r="I201" s="5"/>
      <c r="J201" s="16"/>
      <c r="K201" s="5"/>
    </row>
    <row r="202" spans="1:11" x14ac:dyDescent="0.25">
      <c r="A202" t="s">
        <v>8</v>
      </c>
      <c r="B202" t="s">
        <v>9</v>
      </c>
      <c r="C202" s="4">
        <v>2900</v>
      </c>
      <c r="D202" s="15">
        <v>710.33843881411303</v>
      </c>
      <c r="E202" s="30"/>
      <c r="F202" s="3">
        <v>0.05</v>
      </c>
      <c r="H202" s="5"/>
      <c r="I202" s="5"/>
      <c r="J202" s="16"/>
      <c r="K202" s="5"/>
    </row>
    <row r="203" spans="1:11" x14ac:dyDescent="0.25">
      <c r="A203" t="s">
        <v>64</v>
      </c>
      <c r="B203" t="s">
        <v>65</v>
      </c>
      <c r="C203" s="4">
        <v>4600</v>
      </c>
      <c r="D203" s="15">
        <v>1126.743730532731</v>
      </c>
      <c r="E203" s="30"/>
      <c r="F203" s="3">
        <v>0.05</v>
      </c>
      <c r="H203" s="5"/>
      <c r="I203" s="5"/>
      <c r="J203" s="16"/>
      <c r="K203" s="5"/>
    </row>
    <row r="204" spans="1:11" x14ac:dyDescent="0.25">
      <c r="A204" t="s">
        <v>16</v>
      </c>
      <c r="B204" t="s">
        <v>17</v>
      </c>
      <c r="C204" s="4">
        <v>23300</v>
      </c>
      <c r="D204" s="15">
        <v>5707.2019394375293</v>
      </c>
      <c r="E204" s="30"/>
      <c r="F204" s="3">
        <v>0.06</v>
      </c>
      <c r="H204" s="5"/>
      <c r="I204" s="5"/>
      <c r="J204" s="16"/>
      <c r="K204" s="5"/>
    </row>
    <row r="205" spans="1:11" x14ac:dyDescent="0.25">
      <c r="A205" t="s">
        <v>16</v>
      </c>
      <c r="B205" t="s">
        <v>17</v>
      </c>
      <c r="C205" s="4">
        <v>2900</v>
      </c>
      <c r="D205" s="15">
        <v>710.33843881411303</v>
      </c>
      <c r="E205" s="30"/>
      <c r="F205" s="3">
        <v>0.1</v>
      </c>
      <c r="H205" s="5"/>
      <c r="I205" s="5"/>
      <c r="J205" s="16"/>
      <c r="K205" s="5"/>
    </row>
    <row r="206" spans="1:11" x14ac:dyDescent="0.25">
      <c r="A206" t="s">
        <v>73</v>
      </c>
      <c r="B206" t="s">
        <v>74</v>
      </c>
      <c r="C206" s="4">
        <v>4200</v>
      </c>
      <c r="D206" s="15">
        <v>1028.7660148342327</v>
      </c>
      <c r="E206" s="30"/>
      <c r="F206" s="3">
        <v>0.04</v>
      </c>
      <c r="G206">
        <v>1</v>
      </c>
      <c r="H206" s="5"/>
      <c r="I206" s="5"/>
      <c r="J206" s="16"/>
      <c r="K206" s="5"/>
    </row>
    <row r="207" spans="1:11" x14ac:dyDescent="0.25">
      <c r="A207" t="s">
        <v>27</v>
      </c>
      <c r="B207" t="s">
        <v>28</v>
      </c>
      <c r="C207" s="4">
        <v>2900</v>
      </c>
      <c r="D207" s="15">
        <v>710.33843881411303</v>
      </c>
      <c r="E207" s="30"/>
      <c r="F207" s="3">
        <v>0.09</v>
      </c>
      <c r="G207">
        <v>1</v>
      </c>
      <c r="H207" s="5"/>
      <c r="I207" s="5"/>
      <c r="J207" s="16"/>
      <c r="K207" s="5"/>
    </row>
    <row r="208" spans="1:11" x14ac:dyDescent="0.25">
      <c r="A208" t="s">
        <v>35</v>
      </c>
      <c r="B208" t="s">
        <v>36</v>
      </c>
      <c r="C208" s="4">
        <v>3400</v>
      </c>
      <c r="D208" s="15">
        <v>832.81058343723601</v>
      </c>
      <c r="E208" s="30"/>
      <c r="F208" s="3">
        <v>0.09</v>
      </c>
      <c r="H208" s="5"/>
      <c r="I208" s="5"/>
      <c r="J208" s="16"/>
      <c r="K208" s="5"/>
    </row>
    <row r="209" spans="1:11" x14ac:dyDescent="0.25">
      <c r="A209" t="s">
        <v>12</v>
      </c>
      <c r="B209" t="s">
        <v>13</v>
      </c>
      <c r="C209" s="4">
        <v>6900</v>
      </c>
      <c r="D209" s="15">
        <v>1690.1155957990966</v>
      </c>
      <c r="E209" s="30"/>
      <c r="F209" s="3">
        <v>0.05</v>
      </c>
      <c r="G209">
        <v>1</v>
      </c>
      <c r="H209" s="5"/>
      <c r="I209" s="5"/>
      <c r="J209" s="16"/>
      <c r="K209" s="5"/>
    </row>
    <row r="210" spans="1:11" x14ac:dyDescent="0.25">
      <c r="A210" t="s">
        <v>18</v>
      </c>
      <c r="B210" t="s">
        <v>19</v>
      </c>
      <c r="C210" s="4">
        <v>5000</v>
      </c>
      <c r="D210" s="15">
        <v>1224.7214462312295</v>
      </c>
      <c r="E210" s="30"/>
      <c r="F210" s="3">
        <v>0.05</v>
      </c>
      <c r="H210" s="5"/>
      <c r="I210" s="5"/>
      <c r="J210" s="16"/>
      <c r="K210" s="5"/>
    </row>
    <row r="211" spans="1:11" x14ac:dyDescent="0.25">
      <c r="A211" t="s">
        <v>14</v>
      </c>
      <c r="B211" t="s">
        <v>15</v>
      </c>
      <c r="C211" s="4">
        <v>12200</v>
      </c>
      <c r="D211" s="15">
        <v>2988.3203288042</v>
      </c>
      <c r="E211" s="30"/>
      <c r="F211" s="3">
        <v>0.04</v>
      </c>
      <c r="H211" s="5"/>
      <c r="I211" s="5"/>
      <c r="J211" s="16"/>
      <c r="K211" s="5"/>
    </row>
    <row r="212" spans="1:11" x14ac:dyDescent="0.25">
      <c r="A212" t="s">
        <v>75</v>
      </c>
      <c r="B212" t="s">
        <v>21</v>
      </c>
      <c r="C212" s="4">
        <v>4300</v>
      </c>
      <c r="D212" s="15">
        <v>1053.2604437588573</v>
      </c>
      <c r="E212" s="30"/>
      <c r="F212" s="3">
        <v>0.15</v>
      </c>
      <c r="H212" s="5"/>
      <c r="I212" s="5"/>
      <c r="J212" s="16"/>
      <c r="K212" s="5"/>
    </row>
    <row r="213" spans="1:11" x14ac:dyDescent="0.25">
      <c r="A213" t="s">
        <v>12</v>
      </c>
      <c r="B213" t="s">
        <v>3</v>
      </c>
      <c r="C213" s="4">
        <v>3400</v>
      </c>
      <c r="D213" s="15">
        <v>832.81058343723601</v>
      </c>
      <c r="E213" s="30"/>
      <c r="F213" s="3">
        <v>0.06</v>
      </c>
      <c r="G213">
        <v>1</v>
      </c>
      <c r="H213" s="5"/>
      <c r="I213" s="5"/>
      <c r="J213" s="16"/>
      <c r="K213" s="5"/>
    </row>
    <row r="214" spans="1:11" x14ac:dyDescent="0.25">
      <c r="A214" t="s">
        <v>12</v>
      </c>
      <c r="B214" t="s">
        <v>24</v>
      </c>
      <c r="C214" s="4">
        <v>2900</v>
      </c>
      <c r="D214" s="15">
        <v>710.33843881411303</v>
      </c>
      <c r="E214" s="30"/>
      <c r="F214" s="3">
        <v>7.0000000000000007E-2</v>
      </c>
      <c r="H214" s="5"/>
      <c r="I214" s="5"/>
      <c r="J214" s="16"/>
      <c r="K214" s="5"/>
    </row>
    <row r="215" spans="1:11" x14ac:dyDescent="0.25">
      <c r="A215" t="s">
        <v>42</v>
      </c>
      <c r="B215" t="s">
        <v>43</v>
      </c>
      <c r="C215" s="4">
        <v>4600</v>
      </c>
      <c r="D215" s="15">
        <v>1126.743730532731</v>
      </c>
      <c r="E215" s="30"/>
      <c r="F215" s="3">
        <v>0.1</v>
      </c>
      <c r="H215" s="5"/>
      <c r="I215" s="5"/>
      <c r="J215" s="16"/>
      <c r="K215" s="5"/>
    </row>
    <row r="216" spans="1:11" x14ac:dyDescent="0.25">
      <c r="A216" t="s">
        <v>31</v>
      </c>
      <c r="B216" t="s">
        <v>32</v>
      </c>
      <c r="C216" s="4">
        <v>4300</v>
      </c>
      <c r="D216" s="15">
        <v>1053.2604437588573</v>
      </c>
      <c r="E216" s="30"/>
      <c r="F216" s="3">
        <v>0.06</v>
      </c>
      <c r="G216">
        <v>1</v>
      </c>
      <c r="H216" s="5"/>
      <c r="I216" s="5"/>
      <c r="J216" s="16"/>
      <c r="K216" s="5"/>
    </row>
    <row r="217" spans="1:11" x14ac:dyDescent="0.25">
      <c r="A217" t="s">
        <v>20</v>
      </c>
      <c r="B217" t="s">
        <v>21</v>
      </c>
      <c r="C217" s="4">
        <v>2900</v>
      </c>
      <c r="D217" s="15">
        <v>710.33843881411303</v>
      </c>
      <c r="E217" s="30"/>
      <c r="F217" s="3">
        <v>0.04</v>
      </c>
      <c r="G217">
        <v>3</v>
      </c>
      <c r="H217" s="5"/>
      <c r="I217" s="5"/>
      <c r="J217" s="16"/>
      <c r="K217" s="5"/>
    </row>
    <row r="218" spans="1:11" x14ac:dyDescent="0.25">
      <c r="A218" t="s">
        <v>66</v>
      </c>
      <c r="B218" t="s">
        <v>13</v>
      </c>
      <c r="C218" s="4">
        <v>2900</v>
      </c>
      <c r="D218" s="15">
        <v>710.33843881411303</v>
      </c>
      <c r="E218" s="30"/>
      <c r="F218" s="3">
        <v>0.1</v>
      </c>
      <c r="H218" s="5"/>
      <c r="I218" s="5"/>
      <c r="J218" s="16"/>
      <c r="K218" s="5"/>
    </row>
    <row r="219" spans="1:11" x14ac:dyDescent="0.25">
      <c r="A219" t="s">
        <v>37</v>
      </c>
      <c r="B219" t="s">
        <v>38</v>
      </c>
      <c r="C219" s="4">
        <v>13500</v>
      </c>
      <c r="D219" s="15">
        <v>3306.7479048243194</v>
      </c>
      <c r="E219" s="30"/>
      <c r="F219" s="3">
        <v>0.1</v>
      </c>
      <c r="H219" s="5"/>
      <c r="I219" s="5"/>
      <c r="J219" s="16"/>
      <c r="K219" s="5"/>
    </row>
    <row r="220" spans="1:11" x14ac:dyDescent="0.25">
      <c r="A220" t="s">
        <v>31</v>
      </c>
      <c r="B220" t="s">
        <v>32</v>
      </c>
      <c r="C220" s="4">
        <v>7700</v>
      </c>
      <c r="D220" s="15">
        <v>1886.0710271960934</v>
      </c>
      <c r="E220" s="30"/>
      <c r="F220" s="3">
        <v>0.05</v>
      </c>
      <c r="G220">
        <v>1</v>
      </c>
      <c r="H220" s="5"/>
      <c r="I220" s="5"/>
      <c r="J220" s="16"/>
      <c r="K220" s="5"/>
    </row>
    <row r="221" spans="1:11" x14ac:dyDescent="0.25">
      <c r="A221" t="s">
        <v>76</v>
      </c>
      <c r="B221" t="s">
        <v>77</v>
      </c>
      <c r="C221" s="4">
        <v>2900</v>
      </c>
      <c r="D221" s="15">
        <v>710.33843881411303</v>
      </c>
      <c r="E221" s="30"/>
      <c r="F221" s="3">
        <v>0.06</v>
      </c>
      <c r="G221">
        <v>1</v>
      </c>
      <c r="H221" s="5"/>
      <c r="I221" s="5"/>
      <c r="J221" s="16"/>
      <c r="K221" s="5"/>
    </row>
    <row r="222" spans="1:11" x14ac:dyDescent="0.25">
      <c r="A222" t="s">
        <v>16</v>
      </c>
      <c r="B222" t="s">
        <v>17</v>
      </c>
      <c r="C222" s="4">
        <v>5000</v>
      </c>
      <c r="D222" s="15">
        <v>1224.7214462312295</v>
      </c>
      <c r="E222" s="30"/>
      <c r="F222" s="3">
        <v>0.06</v>
      </c>
      <c r="H222" s="5"/>
      <c r="I222" s="5"/>
      <c r="J222" s="16"/>
      <c r="K222" s="5"/>
    </row>
    <row r="223" spans="1:11" x14ac:dyDescent="0.25">
      <c r="A223" t="s">
        <v>79</v>
      </c>
      <c r="B223" t="s">
        <v>47</v>
      </c>
      <c r="C223" s="4">
        <v>4100</v>
      </c>
      <c r="D223" s="15">
        <v>1004.2715859096081</v>
      </c>
      <c r="E223" s="30"/>
      <c r="F223" s="3">
        <v>0.09</v>
      </c>
      <c r="H223" s="5"/>
      <c r="I223" s="5"/>
      <c r="J223" s="16"/>
      <c r="K223" s="5"/>
    </row>
    <row r="224" spans="1:11" x14ac:dyDescent="0.25">
      <c r="A224" t="s">
        <v>27</v>
      </c>
      <c r="B224" t="s">
        <v>28</v>
      </c>
      <c r="C224" s="4">
        <v>3400</v>
      </c>
      <c r="D224" s="15">
        <v>832.81058343723601</v>
      </c>
      <c r="E224" s="30"/>
      <c r="F224" s="3">
        <v>7.0000000000000007E-2</v>
      </c>
      <c r="G224">
        <v>2</v>
      </c>
      <c r="H224" s="5"/>
      <c r="I224" s="5"/>
      <c r="J224" s="16"/>
      <c r="K224" s="5"/>
    </row>
    <row r="225" spans="1:11" x14ac:dyDescent="0.25">
      <c r="A225" t="s">
        <v>12</v>
      </c>
      <c r="B225" t="s">
        <v>24</v>
      </c>
      <c r="C225" s="4">
        <v>2800</v>
      </c>
      <c r="D225" s="15">
        <v>685.84400988948846</v>
      </c>
      <c r="E225" s="30"/>
      <c r="F225" s="3">
        <v>4.6444444444444399E-2</v>
      </c>
      <c r="G225">
        <v>4</v>
      </c>
      <c r="H225" s="5"/>
      <c r="I225" s="5"/>
      <c r="J225" s="16"/>
      <c r="K225" s="5"/>
    </row>
    <row r="226" spans="1:11" x14ac:dyDescent="0.25">
      <c r="A226" t="s">
        <v>78</v>
      </c>
      <c r="B226" t="s">
        <v>63</v>
      </c>
      <c r="C226" s="4">
        <v>12200</v>
      </c>
      <c r="D226" s="15">
        <v>2988.3203288042</v>
      </c>
      <c r="E226" s="30"/>
      <c r="F226" s="3">
        <v>0.09</v>
      </c>
      <c r="H226" s="5"/>
      <c r="I226" s="5"/>
      <c r="J226" s="16"/>
      <c r="K226" s="5"/>
    </row>
    <row r="227" spans="1:11" x14ac:dyDescent="0.25">
      <c r="A227" t="s">
        <v>29</v>
      </c>
      <c r="B227" t="s">
        <v>9</v>
      </c>
      <c r="C227" s="4">
        <v>3800</v>
      </c>
      <c r="D227" s="15">
        <v>930.78829913573441</v>
      </c>
      <c r="E227" s="30"/>
      <c r="F227" s="3">
        <v>0.05</v>
      </c>
      <c r="H227" s="5"/>
      <c r="I227" s="5"/>
      <c r="J227" s="16"/>
      <c r="K227" s="5"/>
    </row>
    <row r="228" spans="1:11" x14ac:dyDescent="0.25">
      <c r="A228" t="s">
        <v>2</v>
      </c>
      <c r="B228" t="s">
        <v>3</v>
      </c>
      <c r="C228" s="4">
        <v>2800</v>
      </c>
      <c r="D228" s="15">
        <v>685.84400988948846</v>
      </c>
      <c r="E228" s="30"/>
      <c r="F228" s="3">
        <v>0.09</v>
      </c>
      <c r="G228">
        <v>1</v>
      </c>
      <c r="H228" s="5"/>
      <c r="I228" s="5"/>
      <c r="J228" s="16"/>
      <c r="K228" s="5"/>
    </row>
    <row r="229" spans="1:11" x14ac:dyDescent="0.25">
      <c r="A229" t="s">
        <v>29</v>
      </c>
      <c r="B229" t="s">
        <v>9</v>
      </c>
      <c r="C229" s="4">
        <v>4300</v>
      </c>
      <c r="D229" s="15">
        <v>1053.2604437588573</v>
      </c>
      <c r="E229" s="30"/>
      <c r="F229" s="3">
        <v>0.15</v>
      </c>
      <c r="H229" s="5"/>
      <c r="I229" s="5"/>
      <c r="J229" s="16"/>
      <c r="K229" s="5"/>
    </row>
    <row r="230" spans="1:11" x14ac:dyDescent="0.25">
      <c r="A230" t="s">
        <v>2</v>
      </c>
      <c r="B230" t="s">
        <v>3</v>
      </c>
      <c r="C230" s="4">
        <v>2800</v>
      </c>
      <c r="D230" s="15">
        <v>685.84400988948846</v>
      </c>
      <c r="E230" s="30"/>
      <c r="F230" s="3">
        <v>7.0000000000000007E-2</v>
      </c>
      <c r="G230">
        <v>1</v>
      </c>
      <c r="H230" s="5"/>
      <c r="I230" s="5"/>
      <c r="J230" s="16"/>
      <c r="K230" s="5"/>
    </row>
    <row r="231" spans="1:11" x14ac:dyDescent="0.25">
      <c r="A231" t="s">
        <v>71</v>
      </c>
      <c r="B231" t="s">
        <v>72</v>
      </c>
      <c r="C231" s="4">
        <v>4100</v>
      </c>
      <c r="D231" s="15">
        <v>1004.2715859096081</v>
      </c>
      <c r="E231" s="30"/>
      <c r="F231" s="3">
        <v>0.1</v>
      </c>
      <c r="H231" s="5"/>
      <c r="I231" s="5"/>
      <c r="J231" s="16"/>
      <c r="K231" s="5"/>
    </row>
    <row r="232" spans="1:11" x14ac:dyDescent="0.25">
      <c r="A232" t="s">
        <v>31</v>
      </c>
      <c r="B232" t="s">
        <v>32</v>
      </c>
      <c r="C232" s="4">
        <v>2800</v>
      </c>
      <c r="D232" s="15">
        <v>685.84400988948846</v>
      </c>
      <c r="E232" s="30"/>
      <c r="F232" s="3">
        <v>0.06</v>
      </c>
      <c r="H232" s="5"/>
      <c r="I232" s="5"/>
      <c r="J232" s="16"/>
      <c r="K232" s="5"/>
    </row>
    <row r="233" spans="1:11" x14ac:dyDescent="0.25">
      <c r="A233" t="s">
        <v>6</v>
      </c>
      <c r="B233" t="s">
        <v>7</v>
      </c>
      <c r="C233" s="4">
        <v>8000</v>
      </c>
      <c r="D233" s="15">
        <v>1959.5543139699671</v>
      </c>
      <c r="E233" s="30"/>
      <c r="F233" s="3">
        <v>0.06</v>
      </c>
      <c r="H233" s="5"/>
      <c r="I233" s="5"/>
      <c r="J233" s="16"/>
      <c r="K233" s="5"/>
    </row>
    <row r="234" spans="1:11" x14ac:dyDescent="0.25">
      <c r="A234" t="s">
        <v>80</v>
      </c>
      <c r="B234" t="s">
        <v>57</v>
      </c>
      <c r="C234" s="4">
        <v>2900</v>
      </c>
      <c r="D234" s="15">
        <v>710.33843881411303</v>
      </c>
      <c r="E234" s="30"/>
      <c r="F234" s="3">
        <v>0.05</v>
      </c>
      <c r="H234" s="5"/>
      <c r="I234" s="5"/>
      <c r="J234" s="16"/>
      <c r="K234" s="5"/>
    </row>
    <row r="235" spans="1:11" x14ac:dyDescent="0.25">
      <c r="A235" t="s">
        <v>56</v>
      </c>
      <c r="B235" t="s">
        <v>57</v>
      </c>
      <c r="C235" s="4">
        <v>13500</v>
      </c>
      <c r="D235" s="15">
        <v>3306.7479048243194</v>
      </c>
      <c r="E235" s="30"/>
      <c r="F235" s="3">
        <v>0.09</v>
      </c>
      <c r="G235">
        <v>2</v>
      </c>
      <c r="H235" s="5"/>
      <c r="I235" s="5"/>
      <c r="J235" s="16"/>
      <c r="K235" s="5"/>
    </row>
    <row r="236" spans="1:11" x14ac:dyDescent="0.25">
      <c r="A236" t="s">
        <v>37</v>
      </c>
      <c r="B236" t="s">
        <v>38</v>
      </c>
      <c r="C236" s="4">
        <v>4100</v>
      </c>
      <c r="D236" s="15">
        <v>1004.2715859096081</v>
      </c>
      <c r="E236" s="30"/>
      <c r="F236" s="3">
        <v>0.09</v>
      </c>
      <c r="G236">
        <v>1</v>
      </c>
      <c r="H236" s="5"/>
      <c r="I236" s="5"/>
      <c r="J236" s="16"/>
      <c r="K236" s="5"/>
    </row>
    <row r="237" spans="1:11" x14ac:dyDescent="0.25">
      <c r="A237" t="s">
        <v>78</v>
      </c>
      <c r="B237" t="s">
        <v>63</v>
      </c>
      <c r="C237" s="4">
        <v>2900</v>
      </c>
      <c r="D237" s="15">
        <v>710.33843881411303</v>
      </c>
      <c r="E237" s="30"/>
      <c r="F237" s="3">
        <v>0.06</v>
      </c>
      <c r="H237" s="5"/>
      <c r="I237" s="5"/>
      <c r="J237" s="16"/>
      <c r="K237" s="5"/>
    </row>
    <row r="238" spans="1:11" x14ac:dyDescent="0.25">
      <c r="A238" t="s">
        <v>14</v>
      </c>
      <c r="B238" t="s">
        <v>15</v>
      </c>
      <c r="C238" s="4">
        <v>4300</v>
      </c>
      <c r="D238" s="15">
        <v>1053.2604437588573</v>
      </c>
      <c r="E238" s="30"/>
      <c r="F238" s="3">
        <v>0.05</v>
      </c>
      <c r="G238">
        <v>1</v>
      </c>
      <c r="H238" s="5"/>
      <c r="I238" s="5"/>
      <c r="J238" s="16"/>
      <c r="K238" s="5"/>
    </row>
    <row r="239" spans="1:11" x14ac:dyDescent="0.25">
      <c r="A239" t="s">
        <v>37</v>
      </c>
      <c r="B239" t="s">
        <v>38</v>
      </c>
      <c r="C239" s="4">
        <v>6900</v>
      </c>
      <c r="D239" s="15">
        <v>1690.1155957990966</v>
      </c>
      <c r="E239" s="30"/>
      <c r="F239" s="3">
        <v>0.05</v>
      </c>
      <c r="H239" s="5"/>
      <c r="I239" s="5"/>
      <c r="J239" s="16"/>
      <c r="K239" s="5"/>
    </row>
    <row r="240" spans="1:11" x14ac:dyDescent="0.25">
      <c r="A240" t="s">
        <v>14</v>
      </c>
      <c r="B240" t="s">
        <v>15</v>
      </c>
      <c r="C240" s="4">
        <v>12200</v>
      </c>
      <c r="D240" s="15">
        <v>2988.3203288042</v>
      </c>
      <c r="E240" s="30"/>
      <c r="F240" s="3">
        <v>0.06</v>
      </c>
      <c r="H240" s="5"/>
      <c r="I240" s="5"/>
      <c r="J240" s="16"/>
      <c r="K240" s="5"/>
    </row>
    <row r="241" spans="1:11" x14ac:dyDescent="0.25">
      <c r="A241" t="s">
        <v>4</v>
      </c>
      <c r="B241" t="s">
        <v>5</v>
      </c>
      <c r="C241" s="4">
        <v>4500</v>
      </c>
      <c r="D241" s="15">
        <v>1102.2493016081064</v>
      </c>
      <c r="E241" s="30"/>
      <c r="F241" s="3">
        <v>0.06</v>
      </c>
      <c r="H241" s="5"/>
      <c r="I241" s="5"/>
      <c r="J241" s="16"/>
      <c r="K241" s="5"/>
    </row>
    <row r="242" spans="1:11" x14ac:dyDescent="0.25">
      <c r="A242" t="s">
        <v>4</v>
      </c>
      <c r="B242" t="s">
        <v>5</v>
      </c>
      <c r="C242" s="4">
        <v>4500</v>
      </c>
      <c r="D242" s="15">
        <v>1102.2493016081064</v>
      </c>
      <c r="E242" s="30"/>
      <c r="F242" s="3">
        <v>0.1</v>
      </c>
      <c r="H242" s="5"/>
      <c r="I242" s="5"/>
      <c r="J242" s="16"/>
      <c r="K242" s="5"/>
    </row>
    <row r="243" spans="1:11" x14ac:dyDescent="0.25">
      <c r="A243" t="s">
        <v>4</v>
      </c>
      <c r="B243" t="s">
        <v>5</v>
      </c>
      <c r="C243" s="4">
        <v>2900</v>
      </c>
      <c r="D243" s="15">
        <v>710.33843881411303</v>
      </c>
      <c r="E243" s="30"/>
      <c r="F243" s="3">
        <v>0.05</v>
      </c>
      <c r="H243" s="5"/>
      <c r="I243" s="5"/>
      <c r="J243" s="16"/>
      <c r="K243" s="5"/>
    </row>
    <row r="244" spans="1:11" x14ac:dyDescent="0.25">
      <c r="A244" t="s">
        <v>8</v>
      </c>
      <c r="B244" t="s">
        <v>9</v>
      </c>
      <c r="C244" s="4">
        <v>2900</v>
      </c>
      <c r="D244" s="15">
        <v>710.33843881411303</v>
      </c>
      <c r="E244" s="30"/>
      <c r="F244" s="3">
        <v>0.1</v>
      </c>
      <c r="G244">
        <v>1</v>
      </c>
      <c r="H244" s="5"/>
      <c r="I244" s="5"/>
      <c r="J244" s="16"/>
      <c r="K244" s="5"/>
    </row>
    <row r="245" spans="1:11" x14ac:dyDescent="0.25">
      <c r="A245" t="s">
        <v>46</v>
      </c>
      <c r="B245" t="s">
        <v>47</v>
      </c>
      <c r="C245" s="4">
        <v>4100</v>
      </c>
      <c r="D245" s="15">
        <v>1004.2715859096081</v>
      </c>
      <c r="E245" s="30"/>
      <c r="F245" s="3">
        <v>7.0000000000000007E-2</v>
      </c>
      <c r="G245">
        <v>1</v>
      </c>
      <c r="H245" s="5"/>
      <c r="I245" s="5"/>
      <c r="J245" s="16"/>
      <c r="K245" s="5"/>
    </row>
    <row r="246" spans="1:11" x14ac:dyDescent="0.25">
      <c r="A246" t="s">
        <v>39</v>
      </c>
      <c r="B246" t="s">
        <v>30</v>
      </c>
      <c r="C246" s="4">
        <v>13500</v>
      </c>
      <c r="D246" s="15">
        <v>3306.7479048243194</v>
      </c>
      <c r="E246" s="30"/>
      <c r="F246" s="3">
        <v>0.06</v>
      </c>
      <c r="G246">
        <v>1</v>
      </c>
      <c r="H246" s="5"/>
      <c r="I246" s="5"/>
      <c r="J246" s="16"/>
      <c r="K246" s="5"/>
    </row>
    <row r="247" spans="1:11" x14ac:dyDescent="0.25">
      <c r="A247" t="s">
        <v>44</v>
      </c>
      <c r="B247" t="s">
        <v>45</v>
      </c>
      <c r="C247" s="4">
        <v>2900</v>
      </c>
      <c r="D247" s="15">
        <v>710.33843881411303</v>
      </c>
      <c r="E247" s="30"/>
      <c r="F247" s="3">
        <v>0.06</v>
      </c>
      <c r="H247" s="5"/>
      <c r="I247" s="5"/>
      <c r="J247" s="16"/>
      <c r="K247" s="5"/>
    </row>
    <row r="248" spans="1:11" x14ac:dyDescent="0.25">
      <c r="A248" t="s">
        <v>29</v>
      </c>
      <c r="B248" t="s">
        <v>30</v>
      </c>
      <c r="C248" s="4">
        <v>4100</v>
      </c>
      <c r="D248" s="15">
        <v>1004.2715859096081</v>
      </c>
      <c r="E248" s="30"/>
      <c r="F248" s="3">
        <v>7.0000000000000007E-2</v>
      </c>
      <c r="H248" s="5"/>
      <c r="I248" s="5"/>
      <c r="J248" s="16"/>
      <c r="K248" s="5"/>
    </row>
    <row r="249" spans="1:11" x14ac:dyDescent="0.25">
      <c r="A249" t="s">
        <v>25</v>
      </c>
      <c r="B249" t="s">
        <v>24</v>
      </c>
      <c r="C249" s="4">
        <v>4100</v>
      </c>
      <c r="D249" s="15">
        <v>1004.2715859096081</v>
      </c>
      <c r="E249" s="30"/>
      <c r="F249" s="3">
        <v>0.09</v>
      </c>
      <c r="G249">
        <v>2</v>
      </c>
      <c r="H249" s="5"/>
      <c r="I249" s="5"/>
      <c r="J249" s="16"/>
      <c r="K249" s="5"/>
    </row>
    <row r="250" spans="1:11" x14ac:dyDescent="0.25">
      <c r="A250" t="s">
        <v>12</v>
      </c>
      <c r="B250" t="s">
        <v>13</v>
      </c>
      <c r="C250" s="4">
        <v>13500</v>
      </c>
      <c r="D250" s="15">
        <v>3306.7479048243194</v>
      </c>
      <c r="E250" s="30"/>
      <c r="F250" s="3">
        <v>0.15</v>
      </c>
      <c r="G250">
        <v>1</v>
      </c>
      <c r="H250" s="5"/>
      <c r="I250" s="5"/>
      <c r="J250" s="16"/>
      <c r="K250" s="5"/>
    </row>
    <row r="251" spans="1:11" x14ac:dyDescent="0.25">
      <c r="A251" t="s">
        <v>12</v>
      </c>
      <c r="B251" t="s">
        <v>30</v>
      </c>
      <c r="C251" s="4">
        <v>20000</v>
      </c>
      <c r="D251" s="15">
        <v>4898.885784924918</v>
      </c>
      <c r="E251" s="30"/>
      <c r="F251" s="3">
        <v>0.06</v>
      </c>
      <c r="H251" s="5"/>
      <c r="I251" s="5"/>
      <c r="J251" s="16"/>
      <c r="K251" s="5"/>
    </row>
    <row r="252" spans="1:11" x14ac:dyDescent="0.25">
      <c r="A252" t="s">
        <v>10</v>
      </c>
      <c r="B252" t="s">
        <v>11</v>
      </c>
      <c r="C252" s="4">
        <v>2900</v>
      </c>
      <c r="D252" s="15">
        <v>710.33843881411303</v>
      </c>
      <c r="E252" s="30"/>
      <c r="F252" s="3">
        <v>0.04</v>
      </c>
      <c r="G252">
        <v>3</v>
      </c>
      <c r="H252" s="5"/>
      <c r="I252" s="5"/>
      <c r="J252" s="16"/>
      <c r="K252" s="5"/>
    </row>
    <row r="253" spans="1:11" x14ac:dyDescent="0.25">
      <c r="A253" t="s">
        <v>18</v>
      </c>
      <c r="B253" t="s">
        <v>19</v>
      </c>
      <c r="C253" s="4">
        <v>3800</v>
      </c>
      <c r="D253" s="15">
        <v>930.78829913573441</v>
      </c>
      <c r="E253" s="30"/>
      <c r="F253" s="3">
        <v>7.0000000000000007E-2</v>
      </c>
      <c r="G253">
        <v>1</v>
      </c>
      <c r="H253" s="5"/>
      <c r="I253" s="5"/>
      <c r="J253" s="16"/>
      <c r="K253" s="5"/>
    </row>
    <row r="254" spans="1:11" x14ac:dyDescent="0.25">
      <c r="A254" t="s">
        <v>54</v>
      </c>
      <c r="B254" t="s">
        <v>55</v>
      </c>
      <c r="C254" s="4">
        <v>4100</v>
      </c>
      <c r="D254" s="15">
        <v>1004.2715859096081</v>
      </c>
      <c r="E254" s="30"/>
      <c r="F254" s="3">
        <v>0.05</v>
      </c>
      <c r="G254">
        <v>2</v>
      </c>
      <c r="H254" s="5"/>
      <c r="I254" s="5"/>
      <c r="J254" s="16"/>
      <c r="K254" s="5"/>
    </row>
    <row r="255" spans="1:11" x14ac:dyDescent="0.25">
      <c r="A255" t="s">
        <v>26</v>
      </c>
      <c r="B255" t="s">
        <v>9</v>
      </c>
      <c r="C255" s="4">
        <v>2900</v>
      </c>
      <c r="D255" s="15">
        <v>710.33843881411303</v>
      </c>
      <c r="E255" s="30"/>
      <c r="F255" s="3">
        <v>0.15</v>
      </c>
      <c r="H255" s="5"/>
      <c r="I255" s="5"/>
      <c r="J255" s="16"/>
      <c r="K255" s="5"/>
    </row>
    <row r="256" spans="1:11" x14ac:dyDescent="0.25">
      <c r="A256" t="s">
        <v>40</v>
      </c>
      <c r="B256" t="s">
        <v>41</v>
      </c>
      <c r="C256" s="4">
        <v>23300</v>
      </c>
      <c r="D256" s="15">
        <v>5707.2019394375293</v>
      </c>
      <c r="E256" s="30"/>
      <c r="F256" s="3">
        <v>0.06</v>
      </c>
      <c r="H256" s="5"/>
      <c r="I256" s="5"/>
      <c r="J256" s="16"/>
      <c r="K256" s="5"/>
    </row>
    <row r="257" spans="1:11" x14ac:dyDescent="0.25">
      <c r="A257" t="s">
        <v>14</v>
      </c>
      <c r="B257" t="s">
        <v>15</v>
      </c>
      <c r="C257" s="4">
        <v>20000</v>
      </c>
      <c r="D257" s="15">
        <v>4898.885784924918</v>
      </c>
      <c r="E257" s="30"/>
      <c r="F257" s="3">
        <v>0.06</v>
      </c>
      <c r="H257" s="5"/>
      <c r="I257" s="5"/>
      <c r="J257" s="16"/>
      <c r="K257" s="5"/>
    </row>
    <row r="258" spans="1:11" x14ac:dyDescent="0.25">
      <c r="A258" t="s">
        <v>10</v>
      </c>
      <c r="B258" t="s">
        <v>11</v>
      </c>
      <c r="C258" s="4">
        <v>5200</v>
      </c>
      <c r="D258" s="15">
        <v>1273.7103040804786</v>
      </c>
      <c r="E258" s="30"/>
      <c r="F258" s="3">
        <v>0.1</v>
      </c>
      <c r="H258" s="5"/>
      <c r="I258" s="5"/>
      <c r="J258" s="16"/>
      <c r="K258" s="5"/>
    </row>
    <row r="259" spans="1:11" x14ac:dyDescent="0.25">
      <c r="A259" t="s">
        <v>12</v>
      </c>
      <c r="B259" t="s">
        <v>30</v>
      </c>
      <c r="C259" s="4">
        <v>7000</v>
      </c>
      <c r="D259" s="15">
        <v>1714.6100247237212</v>
      </c>
      <c r="E259" s="30"/>
      <c r="F259" s="3">
        <v>0.05</v>
      </c>
      <c r="G259">
        <v>1</v>
      </c>
      <c r="H259" s="5"/>
      <c r="I259" s="5"/>
      <c r="J259" s="16"/>
      <c r="K259" s="5"/>
    </row>
    <row r="260" spans="1:11" x14ac:dyDescent="0.25">
      <c r="A260" t="s">
        <v>22</v>
      </c>
      <c r="B260" t="s">
        <v>23</v>
      </c>
      <c r="C260" s="4">
        <v>3400</v>
      </c>
      <c r="D260" s="15">
        <v>832.81058343723601</v>
      </c>
      <c r="E260" s="30"/>
      <c r="F260" s="3">
        <v>0.04</v>
      </c>
      <c r="H260" s="5"/>
      <c r="I260" s="5"/>
      <c r="J260" s="16"/>
      <c r="K260" s="5"/>
    </row>
    <row r="261" spans="1:11" x14ac:dyDescent="0.25">
      <c r="A261" t="s">
        <v>12</v>
      </c>
      <c r="B261" t="s">
        <v>13</v>
      </c>
      <c r="C261" s="4">
        <v>12200</v>
      </c>
      <c r="D261" s="15">
        <v>2988.3203288042</v>
      </c>
      <c r="E261" s="30"/>
      <c r="F261" s="3">
        <v>0.05</v>
      </c>
      <c r="H261" s="5"/>
      <c r="I261" s="5"/>
      <c r="J261" s="16"/>
      <c r="K261" s="5"/>
    </row>
    <row r="262" spans="1:11" x14ac:dyDescent="0.25">
      <c r="A262" t="s">
        <v>25</v>
      </c>
      <c r="B262" t="s">
        <v>24</v>
      </c>
      <c r="C262" s="4">
        <v>15400</v>
      </c>
      <c r="D262" s="15">
        <v>3772.1420543921868</v>
      </c>
      <c r="E262" s="30"/>
      <c r="F262" s="3">
        <v>0.1</v>
      </c>
      <c r="G262">
        <v>1</v>
      </c>
      <c r="H262" s="5"/>
      <c r="I262" s="5"/>
      <c r="J262" s="16"/>
      <c r="K262" s="5"/>
    </row>
    <row r="263" spans="1:11" x14ac:dyDescent="0.25">
      <c r="A263" t="s">
        <v>29</v>
      </c>
      <c r="B263" t="s">
        <v>30</v>
      </c>
      <c r="C263" s="4">
        <v>4300</v>
      </c>
      <c r="D263" s="15">
        <v>1053.2604437588573</v>
      </c>
      <c r="E263" s="30"/>
      <c r="F263" s="3">
        <v>0.06</v>
      </c>
      <c r="H263" s="5"/>
      <c r="I263" s="5"/>
      <c r="J263" s="16"/>
      <c r="K263" s="5"/>
    </row>
    <row r="264" spans="1:11" x14ac:dyDescent="0.25">
      <c r="A264" t="s">
        <v>33</v>
      </c>
      <c r="B264" t="s">
        <v>34</v>
      </c>
      <c r="C264" s="4">
        <v>3800</v>
      </c>
      <c r="D264" s="15">
        <v>930.78829913573441</v>
      </c>
      <c r="E264" s="30"/>
      <c r="F264" s="3">
        <v>0.09</v>
      </c>
      <c r="H264" s="5"/>
      <c r="I264" s="5"/>
      <c r="J264" s="16"/>
      <c r="K264" s="5"/>
    </row>
    <row r="265" spans="1:11" x14ac:dyDescent="0.25">
      <c r="A265" t="s">
        <v>14</v>
      </c>
      <c r="B265" t="s">
        <v>15</v>
      </c>
      <c r="C265" s="4">
        <v>16000</v>
      </c>
      <c r="D265" s="15">
        <v>3919.1086279399342</v>
      </c>
      <c r="E265" s="30"/>
      <c r="F265" s="3">
        <v>7.0000000000000007E-2</v>
      </c>
      <c r="G265">
        <v>1</v>
      </c>
      <c r="H265" s="5"/>
      <c r="I265" s="5"/>
      <c r="J265" s="16"/>
      <c r="K265" s="5"/>
    </row>
    <row r="266" spans="1:11" x14ac:dyDescent="0.25">
      <c r="A266" t="s">
        <v>84</v>
      </c>
      <c r="B266" t="s">
        <v>85</v>
      </c>
      <c r="C266" s="4">
        <v>2900</v>
      </c>
      <c r="D266" s="15">
        <v>710.33843881411303</v>
      </c>
      <c r="E266" s="30"/>
      <c r="F266" s="3">
        <v>0.15</v>
      </c>
      <c r="H266" s="5"/>
      <c r="I266" s="5"/>
      <c r="J266" s="16"/>
      <c r="K266" s="5"/>
    </row>
    <row r="267" spans="1:11" x14ac:dyDescent="0.25">
      <c r="A267" t="s">
        <v>46</v>
      </c>
      <c r="B267" t="s">
        <v>47</v>
      </c>
      <c r="C267" s="4">
        <v>4300</v>
      </c>
      <c r="D267" s="15">
        <v>1053.2604437588573</v>
      </c>
      <c r="E267" s="30"/>
      <c r="F267" s="3">
        <v>0.06</v>
      </c>
      <c r="H267" s="5"/>
      <c r="I267" s="5"/>
      <c r="J267" s="16"/>
      <c r="K267" s="5"/>
    </row>
    <row r="268" spans="1:11" x14ac:dyDescent="0.25">
      <c r="A268" t="s">
        <v>29</v>
      </c>
      <c r="B268" t="s">
        <v>30</v>
      </c>
      <c r="C268" s="4">
        <v>16000</v>
      </c>
      <c r="D268" s="15">
        <v>3919.1086279399342</v>
      </c>
      <c r="E268" s="30"/>
      <c r="F268" s="3">
        <v>0.06</v>
      </c>
      <c r="H268" s="5"/>
      <c r="I268" s="5"/>
      <c r="J268" s="16"/>
      <c r="K268" s="5"/>
    </row>
    <row r="269" spans="1:11" x14ac:dyDescent="0.25">
      <c r="A269" t="s">
        <v>8</v>
      </c>
      <c r="B269" t="s">
        <v>9</v>
      </c>
      <c r="C269" s="4">
        <v>20000</v>
      </c>
      <c r="D269" s="15">
        <v>4898.885784924918</v>
      </c>
      <c r="E269" s="30"/>
      <c r="F269" s="3">
        <v>0.1</v>
      </c>
      <c r="G269">
        <v>1</v>
      </c>
      <c r="H269" s="5"/>
      <c r="I269" s="5"/>
      <c r="J269" s="16"/>
      <c r="K269" s="5"/>
    </row>
    <row r="270" spans="1:11" x14ac:dyDescent="0.25">
      <c r="A270" t="s">
        <v>14</v>
      </c>
      <c r="B270" t="s">
        <v>15</v>
      </c>
      <c r="C270" s="4">
        <v>13500</v>
      </c>
      <c r="D270" s="15">
        <v>3306.7479048243194</v>
      </c>
      <c r="E270" s="30"/>
      <c r="F270" s="3">
        <v>0.09</v>
      </c>
      <c r="G270">
        <v>1</v>
      </c>
      <c r="H270" s="5"/>
      <c r="I270" s="5"/>
      <c r="J270" s="16"/>
      <c r="K270" s="5"/>
    </row>
    <row r="271" spans="1:11" x14ac:dyDescent="0.25">
      <c r="A271" t="s">
        <v>6</v>
      </c>
      <c r="B271" t="s">
        <v>7</v>
      </c>
      <c r="C271" s="4">
        <v>4300</v>
      </c>
      <c r="D271" s="15">
        <v>1053.2604437588573</v>
      </c>
      <c r="E271" s="30"/>
      <c r="F271" s="3">
        <v>0.15</v>
      </c>
      <c r="H271" s="5"/>
      <c r="I271" s="5"/>
      <c r="J271" s="16"/>
      <c r="K271" s="5"/>
    </row>
    <row r="272" spans="1:11" x14ac:dyDescent="0.25">
      <c r="A272" t="s">
        <v>26</v>
      </c>
      <c r="B272" t="s">
        <v>9</v>
      </c>
      <c r="C272" s="4">
        <v>2900</v>
      </c>
      <c r="D272" s="15">
        <v>710.33843881411303</v>
      </c>
      <c r="E272" s="30"/>
      <c r="F272" s="3">
        <v>0.05</v>
      </c>
      <c r="G272">
        <v>1</v>
      </c>
      <c r="H272" s="5"/>
      <c r="I272" s="5"/>
      <c r="J272" s="16"/>
      <c r="K272" s="5"/>
    </row>
    <row r="273" spans="1:11" x14ac:dyDescent="0.25">
      <c r="A273" t="s">
        <v>71</v>
      </c>
      <c r="B273" t="s">
        <v>72</v>
      </c>
      <c r="C273" s="4">
        <v>25000</v>
      </c>
      <c r="D273" s="15">
        <v>6123.6072311561475</v>
      </c>
      <c r="E273" s="30"/>
      <c r="F273" s="3">
        <v>0.09</v>
      </c>
      <c r="G273">
        <v>1</v>
      </c>
      <c r="H273" s="5"/>
      <c r="I273" s="5"/>
      <c r="J273" s="16"/>
      <c r="K273" s="5"/>
    </row>
    <row r="274" spans="1:11" x14ac:dyDescent="0.25">
      <c r="A274" t="s">
        <v>46</v>
      </c>
      <c r="B274" t="s">
        <v>47</v>
      </c>
      <c r="C274" s="4">
        <v>3800</v>
      </c>
      <c r="D274" s="15">
        <v>930.78829913573441</v>
      </c>
      <c r="E274" s="30"/>
      <c r="F274" s="3">
        <v>0.1</v>
      </c>
      <c r="H274" s="5"/>
      <c r="I274" s="5"/>
      <c r="J274" s="16"/>
      <c r="K274" s="5"/>
    </row>
    <row r="275" spans="1:11" x14ac:dyDescent="0.25">
      <c r="A275" t="s">
        <v>10</v>
      </c>
      <c r="B275" t="s">
        <v>11</v>
      </c>
      <c r="C275" s="4">
        <v>2900</v>
      </c>
      <c r="D275" s="15">
        <v>710.33843881411303</v>
      </c>
      <c r="E275" s="30"/>
      <c r="F275" s="3">
        <v>0.05</v>
      </c>
      <c r="G275">
        <v>1</v>
      </c>
      <c r="H275" s="5"/>
      <c r="I275" s="5"/>
      <c r="J275" s="16"/>
      <c r="K275" s="5"/>
    </row>
    <row r="276" spans="1:11" x14ac:dyDescent="0.25">
      <c r="A276" t="s">
        <v>29</v>
      </c>
      <c r="B276" t="s">
        <v>30</v>
      </c>
      <c r="C276" s="4">
        <v>16000</v>
      </c>
      <c r="D276" s="15">
        <v>3919.1086279399342</v>
      </c>
      <c r="E276" s="30"/>
      <c r="F276" s="3">
        <v>0.05</v>
      </c>
      <c r="G276">
        <v>1</v>
      </c>
      <c r="H276" s="5"/>
      <c r="I276" s="5"/>
      <c r="J276" s="16"/>
      <c r="K276" s="5"/>
    </row>
    <row r="277" spans="1:11" x14ac:dyDescent="0.25">
      <c r="A277" t="s">
        <v>39</v>
      </c>
      <c r="B277" t="s">
        <v>30</v>
      </c>
      <c r="C277" s="4">
        <v>4100</v>
      </c>
      <c r="D277" s="15">
        <v>1004.2715859096081</v>
      </c>
      <c r="E277" s="30"/>
      <c r="F277" s="3">
        <v>0.06</v>
      </c>
      <c r="G277">
        <v>3</v>
      </c>
      <c r="H277" s="5"/>
      <c r="I277" s="5"/>
      <c r="J277" s="16"/>
      <c r="K277" s="5"/>
    </row>
    <row r="278" spans="1:11" x14ac:dyDescent="0.25">
      <c r="A278" t="s">
        <v>10</v>
      </c>
      <c r="B278" t="s">
        <v>11</v>
      </c>
      <c r="C278" s="4">
        <v>4200</v>
      </c>
      <c r="D278" s="15">
        <v>1028.7660148342327</v>
      </c>
      <c r="E278" s="30"/>
      <c r="F278" s="3">
        <v>0.09</v>
      </c>
      <c r="G278">
        <v>1</v>
      </c>
      <c r="H278" s="5"/>
      <c r="I278" s="5"/>
      <c r="J278" s="16"/>
      <c r="K278" s="5"/>
    </row>
    <row r="279" spans="1:11" x14ac:dyDescent="0.25">
      <c r="A279" t="s">
        <v>82</v>
      </c>
      <c r="B279" t="s">
        <v>83</v>
      </c>
      <c r="C279" s="4">
        <v>14600</v>
      </c>
      <c r="D279" s="15">
        <v>3576.1866229951897</v>
      </c>
      <c r="E279" s="30"/>
      <c r="F279" s="3">
        <v>0.15</v>
      </c>
      <c r="H279" s="5"/>
      <c r="I279" s="5"/>
      <c r="J279" s="16"/>
      <c r="K279" s="5"/>
    </row>
    <row r="280" spans="1:11" x14ac:dyDescent="0.25">
      <c r="A280" t="s">
        <v>50</v>
      </c>
      <c r="B280" t="s">
        <v>51</v>
      </c>
      <c r="C280" s="4">
        <v>3800</v>
      </c>
      <c r="D280" s="15">
        <v>930.78829913573441</v>
      </c>
      <c r="E280" s="30"/>
      <c r="F280" s="3">
        <v>0.09</v>
      </c>
      <c r="H280" s="5"/>
      <c r="I280" s="5"/>
      <c r="J280" s="16"/>
      <c r="K280" s="5"/>
    </row>
    <row r="281" spans="1:11" x14ac:dyDescent="0.25">
      <c r="A281" t="s">
        <v>60</v>
      </c>
      <c r="B281" t="s">
        <v>61</v>
      </c>
      <c r="C281" s="4">
        <v>5000</v>
      </c>
      <c r="D281" s="15">
        <v>1224.7214462312295</v>
      </c>
      <c r="E281" s="30"/>
      <c r="F281" s="3">
        <v>0.05</v>
      </c>
      <c r="G281">
        <v>1</v>
      </c>
      <c r="H281" s="5"/>
      <c r="I281" s="5"/>
      <c r="J281" s="16"/>
      <c r="K281" s="5"/>
    </row>
    <row r="282" spans="1:11" x14ac:dyDescent="0.25">
      <c r="A282" t="s">
        <v>12</v>
      </c>
      <c r="B282" t="s">
        <v>13</v>
      </c>
      <c r="C282" s="4">
        <v>6200</v>
      </c>
      <c r="D282" s="15">
        <v>1518.6545933267246</v>
      </c>
      <c r="E282" s="30"/>
      <c r="F282" s="3">
        <v>0.09</v>
      </c>
      <c r="H282" s="5"/>
      <c r="I282" s="5"/>
      <c r="J282" s="16"/>
      <c r="K282" s="5"/>
    </row>
    <row r="283" spans="1:11" x14ac:dyDescent="0.25">
      <c r="A283" t="s">
        <v>42</v>
      </c>
      <c r="B283" t="s">
        <v>43</v>
      </c>
      <c r="C283" s="4">
        <v>4300</v>
      </c>
      <c r="D283" s="15">
        <v>1053.2604437588573</v>
      </c>
      <c r="E283" s="30"/>
      <c r="F283" s="3">
        <v>0.04</v>
      </c>
      <c r="H283" s="5"/>
      <c r="I283" s="5"/>
      <c r="J283" s="16"/>
      <c r="K283" s="5"/>
    </row>
    <row r="284" spans="1:11" x14ac:dyDescent="0.25">
      <c r="A284" t="s">
        <v>80</v>
      </c>
      <c r="B284" t="s">
        <v>57</v>
      </c>
      <c r="C284" s="4">
        <v>4300</v>
      </c>
      <c r="D284" s="15">
        <v>1053.2604437588573</v>
      </c>
      <c r="E284" s="30"/>
      <c r="F284" s="3">
        <v>7.0000000000000007E-2</v>
      </c>
      <c r="G284">
        <v>2</v>
      </c>
      <c r="H284" s="5"/>
      <c r="I284" s="5"/>
      <c r="J284" s="16"/>
      <c r="K284" s="5"/>
    </row>
    <row r="285" spans="1:11" x14ac:dyDescent="0.25">
      <c r="A285" t="s">
        <v>29</v>
      </c>
      <c r="B285" t="s">
        <v>30</v>
      </c>
      <c r="C285" s="4">
        <v>10000</v>
      </c>
      <c r="D285" s="15">
        <v>2449.442892462459</v>
      </c>
      <c r="E285" s="30"/>
      <c r="F285" s="3">
        <v>0.06</v>
      </c>
      <c r="G285">
        <v>2</v>
      </c>
      <c r="H285" s="5"/>
      <c r="I285" s="5"/>
      <c r="J285" s="16"/>
      <c r="K285" s="5"/>
    </row>
    <row r="286" spans="1:11" x14ac:dyDescent="0.25">
      <c r="A286" t="s">
        <v>76</v>
      </c>
      <c r="B286" t="s">
        <v>77</v>
      </c>
      <c r="C286" s="4">
        <v>4300</v>
      </c>
      <c r="D286" s="15">
        <v>1053.2604437588573</v>
      </c>
      <c r="E286" s="30"/>
      <c r="F286" s="3">
        <v>0.09</v>
      </c>
      <c r="G286">
        <v>2</v>
      </c>
      <c r="H286" s="5"/>
      <c r="I286" s="5"/>
      <c r="J286" s="16"/>
      <c r="K286" s="5"/>
    </row>
    <row r="287" spans="1:11" x14ac:dyDescent="0.25">
      <c r="A287" t="s">
        <v>75</v>
      </c>
      <c r="B287" t="s">
        <v>21</v>
      </c>
      <c r="C287" s="4">
        <v>2900</v>
      </c>
      <c r="D287" s="15">
        <v>710.33843881411303</v>
      </c>
      <c r="E287" s="30"/>
      <c r="F287" s="3">
        <v>0.05</v>
      </c>
      <c r="G287">
        <v>1</v>
      </c>
      <c r="H287" s="5"/>
      <c r="I287" s="5"/>
      <c r="J287" s="16"/>
      <c r="K287" s="5"/>
    </row>
    <row r="288" spans="1:11" x14ac:dyDescent="0.25">
      <c r="A288" t="s">
        <v>12</v>
      </c>
      <c r="B288" t="s">
        <v>86</v>
      </c>
      <c r="C288" s="4">
        <v>13500</v>
      </c>
      <c r="D288" s="15">
        <v>3306.7479048243194</v>
      </c>
      <c r="E288" s="30"/>
      <c r="F288" s="3">
        <v>0.09</v>
      </c>
      <c r="G288">
        <v>1</v>
      </c>
      <c r="H288" s="5"/>
      <c r="I288" s="5"/>
      <c r="J288" s="16"/>
      <c r="K288" s="5"/>
    </row>
    <row r="289" spans="1:11" x14ac:dyDescent="0.25">
      <c r="A289" t="s">
        <v>10</v>
      </c>
      <c r="B289" t="s">
        <v>11</v>
      </c>
      <c r="C289" s="4">
        <v>3800</v>
      </c>
      <c r="D289" s="15">
        <v>930.78829913573441</v>
      </c>
      <c r="E289" s="30"/>
      <c r="F289" s="3">
        <v>0.06</v>
      </c>
      <c r="G289">
        <v>2</v>
      </c>
      <c r="H289" s="5"/>
      <c r="I289" s="5"/>
      <c r="J289" s="16"/>
      <c r="K289" s="5"/>
    </row>
    <row r="290" spans="1:11" x14ac:dyDescent="0.25">
      <c r="A290" t="s">
        <v>52</v>
      </c>
      <c r="B290" t="s">
        <v>53</v>
      </c>
      <c r="C290" s="4">
        <v>2900</v>
      </c>
      <c r="D290" s="15">
        <v>710.33843881411303</v>
      </c>
      <c r="E290" s="30"/>
      <c r="F290" s="3">
        <v>0.05</v>
      </c>
      <c r="G290">
        <v>2</v>
      </c>
      <c r="H290" s="5"/>
      <c r="I290" s="5"/>
      <c r="J290" s="16"/>
      <c r="K290" s="5"/>
    </row>
    <row r="291" spans="1:11" x14ac:dyDescent="0.25">
      <c r="A291" t="s">
        <v>10</v>
      </c>
      <c r="B291" t="s">
        <v>11</v>
      </c>
      <c r="C291" s="4">
        <v>16000</v>
      </c>
      <c r="D291" s="15">
        <v>3919.1086279399342</v>
      </c>
      <c r="E291" s="30"/>
      <c r="F291" s="3">
        <v>0.1</v>
      </c>
      <c r="G291">
        <v>1</v>
      </c>
      <c r="H291" s="5"/>
      <c r="I291" s="5"/>
      <c r="J291" s="16"/>
      <c r="K291" s="5"/>
    </row>
    <row r="292" spans="1:11" x14ac:dyDescent="0.25">
      <c r="A292" t="s">
        <v>6</v>
      </c>
      <c r="B292" t="s">
        <v>7</v>
      </c>
      <c r="C292" s="4">
        <v>4500</v>
      </c>
      <c r="D292" s="15">
        <v>1102.2493016081064</v>
      </c>
      <c r="E292" s="30"/>
      <c r="F292" s="3">
        <v>0.06</v>
      </c>
      <c r="G292">
        <v>1</v>
      </c>
      <c r="H292" s="5"/>
      <c r="I292" s="5"/>
      <c r="J292" s="16"/>
      <c r="K292" s="5"/>
    </row>
    <row r="293" spans="1:11" x14ac:dyDescent="0.25">
      <c r="A293" t="s">
        <v>46</v>
      </c>
      <c r="B293" t="s">
        <v>47</v>
      </c>
      <c r="C293" s="4">
        <v>4300</v>
      </c>
      <c r="D293" s="15">
        <v>1053.2604437588573</v>
      </c>
      <c r="E293" s="30"/>
      <c r="F293" s="3">
        <v>0.04</v>
      </c>
      <c r="H293" s="5"/>
      <c r="I293" s="5"/>
      <c r="J293" s="16"/>
      <c r="K293" s="5"/>
    </row>
    <row r="294" spans="1:11" x14ac:dyDescent="0.25">
      <c r="A294" t="s">
        <v>33</v>
      </c>
      <c r="B294" t="s">
        <v>34</v>
      </c>
      <c r="C294" s="4">
        <v>4100</v>
      </c>
      <c r="D294" s="15">
        <v>1004.2715859096081</v>
      </c>
      <c r="E294" s="30"/>
      <c r="F294" s="3">
        <v>0.15</v>
      </c>
      <c r="G294">
        <v>1</v>
      </c>
      <c r="H294" s="5"/>
      <c r="I294" s="5"/>
      <c r="J294" s="16"/>
      <c r="K294" s="5"/>
    </row>
    <row r="295" spans="1:11" x14ac:dyDescent="0.25">
      <c r="A295" t="s">
        <v>8</v>
      </c>
      <c r="B295" t="s">
        <v>9</v>
      </c>
      <c r="C295" s="4">
        <v>4100</v>
      </c>
      <c r="D295" s="15">
        <v>1004.2715859096081</v>
      </c>
      <c r="E295" s="30"/>
      <c r="F295" s="3">
        <v>0.06</v>
      </c>
      <c r="H295" s="5"/>
      <c r="I295" s="5"/>
      <c r="J295" s="16"/>
      <c r="K295" s="5"/>
    </row>
    <row r="296" spans="1:11" x14ac:dyDescent="0.25">
      <c r="A296" t="s">
        <v>4</v>
      </c>
      <c r="B296" t="s">
        <v>5</v>
      </c>
      <c r="C296" s="4">
        <v>4100</v>
      </c>
      <c r="D296" s="15">
        <v>1004.2715859096081</v>
      </c>
      <c r="E296" s="30"/>
      <c r="F296" s="3">
        <v>0.05</v>
      </c>
      <c r="G296">
        <v>2</v>
      </c>
      <c r="H296" s="5"/>
      <c r="I296" s="5"/>
      <c r="J296" s="16"/>
      <c r="K296" s="5"/>
    </row>
    <row r="297" spans="1:11" x14ac:dyDescent="0.25">
      <c r="A297" t="s">
        <v>25</v>
      </c>
      <c r="B297" t="s">
        <v>24</v>
      </c>
      <c r="C297" s="4">
        <v>8900</v>
      </c>
      <c r="D297" s="15">
        <v>2180.0041742915882</v>
      </c>
      <c r="E297" s="30"/>
      <c r="F297" s="3">
        <v>0.04</v>
      </c>
      <c r="H297" s="5"/>
      <c r="I297" s="5"/>
      <c r="J297" s="16"/>
      <c r="K297" s="5"/>
    </row>
    <row r="298" spans="1:11" x14ac:dyDescent="0.25">
      <c r="A298" t="s">
        <v>8</v>
      </c>
      <c r="B298" t="s">
        <v>9</v>
      </c>
      <c r="C298" s="4">
        <v>3800</v>
      </c>
      <c r="D298" s="15">
        <v>930.78829913573441</v>
      </c>
      <c r="E298" s="30"/>
      <c r="F298" s="3">
        <v>0.06</v>
      </c>
      <c r="H298" s="5"/>
      <c r="I298" s="5"/>
      <c r="J298" s="16"/>
      <c r="K298" s="5"/>
    </row>
    <row r="299" spans="1:11" x14ac:dyDescent="0.25">
      <c r="A299" t="s">
        <v>60</v>
      </c>
      <c r="B299" t="s">
        <v>61</v>
      </c>
      <c r="C299" s="4">
        <v>4100</v>
      </c>
      <c r="D299" s="15">
        <v>1004.2715859096081</v>
      </c>
      <c r="E299" s="30"/>
      <c r="F299" s="3">
        <v>0.05</v>
      </c>
      <c r="H299" s="5"/>
      <c r="I299" s="5"/>
      <c r="J299" s="16"/>
      <c r="K299" s="5"/>
    </row>
    <row r="300" spans="1:11" x14ac:dyDescent="0.25">
      <c r="A300" t="s">
        <v>82</v>
      </c>
      <c r="B300" t="s">
        <v>83</v>
      </c>
      <c r="C300" s="4">
        <v>12200</v>
      </c>
      <c r="D300" s="15">
        <v>2988.3203288042</v>
      </c>
      <c r="E300" s="30"/>
      <c r="F300" s="3">
        <v>0.06</v>
      </c>
      <c r="H300" s="5"/>
      <c r="I300" s="5"/>
      <c r="J300" s="16"/>
      <c r="K300" s="5"/>
    </row>
    <row r="301" spans="1:11" x14ac:dyDescent="0.25">
      <c r="A301" t="s">
        <v>31</v>
      </c>
      <c r="B301" t="s">
        <v>32</v>
      </c>
      <c r="C301" s="4">
        <v>15400</v>
      </c>
      <c r="D301" s="15">
        <v>3772.1420543921868</v>
      </c>
      <c r="E301" s="30"/>
      <c r="F301" s="3">
        <v>0.06</v>
      </c>
      <c r="G301">
        <v>1</v>
      </c>
      <c r="H301" s="5"/>
      <c r="I301" s="5"/>
      <c r="J301" s="16"/>
      <c r="K301" s="5"/>
    </row>
    <row r="302" spans="1:11" x14ac:dyDescent="0.25">
      <c r="A302" t="s">
        <v>12</v>
      </c>
      <c r="B302" t="s">
        <v>13</v>
      </c>
      <c r="C302" s="4">
        <v>4100</v>
      </c>
      <c r="D302" s="15">
        <v>1004.2715859096081</v>
      </c>
      <c r="E302" s="30"/>
      <c r="F302" s="3">
        <v>7.0000000000000007E-2</v>
      </c>
      <c r="G302">
        <v>1</v>
      </c>
      <c r="H302" s="5"/>
      <c r="I302" s="5"/>
      <c r="J302" s="16"/>
      <c r="K302" s="5"/>
    </row>
    <row r="303" spans="1:11" x14ac:dyDescent="0.25">
      <c r="A303" t="s">
        <v>6</v>
      </c>
      <c r="B303" t="s">
        <v>7</v>
      </c>
      <c r="C303" s="4">
        <v>3800</v>
      </c>
      <c r="D303" s="15">
        <v>930.78829913573441</v>
      </c>
      <c r="E303" s="30"/>
      <c r="F303" s="3">
        <v>0.04</v>
      </c>
      <c r="G303">
        <v>1</v>
      </c>
      <c r="H303" s="5"/>
      <c r="I303" s="5"/>
      <c r="J303" s="16"/>
      <c r="K303" s="5"/>
    </row>
    <row r="304" spans="1:11" x14ac:dyDescent="0.25">
      <c r="A304" t="s">
        <v>20</v>
      </c>
      <c r="B304" t="s">
        <v>21</v>
      </c>
      <c r="C304" s="4">
        <v>4300</v>
      </c>
      <c r="D304" s="15">
        <v>1053.2604437588573</v>
      </c>
      <c r="E304" s="30"/>
      <c r="F304" s="3">
        <v>7.0000000000000007E-2</v>
      </c>
      <c r="H304" s="5"/>
      <c r="I304" s="5"/>
      <c r="J304" s="16"/>
      <c r="K304" s="5"/>
    </row>
    <row r="305" spans="1:11" x14ac:dyDescent="0.25">
      <c r="A305" t="s">
        <v>39</v>
      </c>
      <c r="B305" t="s">
        <v>30</v>
      </c>
      <c r="C305" s="4">
        <v>4300</v>
      </c>
      <c r="D305" s="15">
        <v>1053.2604437588573</v>
      </c>
      <c r="E305" s="30"/>
      <c r="F305" s="3">
        <v>7.0000000000000007E-2</v>
      </c>
      <c r="G305">
        <v>1</v>
      </c>
      <c r="H305" s="5"/>
      <c r="I305" s="5"/>
      <c r="J305" s="16"/>
      <c r="K305" s="5"/>
    </row>
    <row r="306" spans="1:11" x14ac:dyDescent="0.25">
      <c r="A306" t="s">
        <v>8</v>
      </c>
      <c r="B306" t="s">
        <v>9</v>
      </c>
      <c r="C306" s="4">
        <v>2900</v>
      </c>
      <c r="D306" s="15">
        <v>710.33843881411303</v>
      </c>
      <c r="E306" s="30"/>
      <c r="F306" s="3">
        <v>0.09</v>
      </c>
      <c r="G306">
        <v>1</v>
      </c>
      <c r="H306" s="5"/>
      <c r="I306" s="5"/>
      <c r="J306" s="16"/>
      <c r="K306" s="5"/>
    </row>
    <row r="307" spans="1:11" x14ac:dyDescent="0.25">
      <c r="A307" t="s">
        <v>56</v>
      </c>
      <c r="B307" t="s">
        <v>57</v>
      </c>
      <c r="C307" s="4">
        <v>4500</v>
      </c>
      <c r="D307" s="15">
        <v>1102.2493016081064</v>
      </c>
      <c r="E307" s="30"/>
      <c r="F307" s="3">
        <v>0.05</v>
      </c>
      <c r="G307">
        <v>3</v>
      </c>
      <c r="H307" s="5"/>
      <c r="I307" s="5"/>
      <c r="J307" s="16"/>
      <c r="K307" s="5"/>
    </row>
    <row r="308" spans="1:11" x14ac:dyDescent="0.25">
      <c r="A308" t="s">
        <v>82</v>
      </c>
      <c r="B308" t="s">
        <v>83</v>
      </c>
      <c r="C308" s="4">
        <v>4100</v>
      </c>
      <c r="D308" s="15">
        <v>1004.2715859096081</v>
      </c>
      <c r="E308" s="30"/>
      <c r="F308" s="3">
        <v>7.0000000000000007E-2</v>
      </c>
      <c r="H308" s="5"/>
      <c r="I308" s="5"/>
      <c r="J308" s="16"/>
      <c r="K308" s="5"/>
    </row>
    <row r="309" spans="1:11" x14ac:dyDescent="0.25">
      <c r="A309" t="s">
        <v>12</v>
      </c>
      <c r="B309" t="s">
        <v>24</v>
      </c>
      <c r="C309" s="4">
        <v>12200</v>
      </c>
      <c r="D309" s="15">
        <v>2988.3203288042</v>
      </c>
      <c r="E309" s="30"/>
      <c r="F309" s="3">
        <v>0.09</v>
      </c>
      <c r="H309" s="5"/>
      <c r="I309" s="5"/>
      <c r="J309" s="16"/>
      <c r="K309" s="5"/>
    </row>
    <row r="310" spans="1:11" x14ac:dyDescent="0.25">
      <c r="A310" t="s">
        <v>6</v>
      </c>
      <c r="B310" t="s">
        <v>7</v>
      </c>
      <c r="C310" s="4">
        <v>7700</v>
      </c>
      <c r="D310" s="15">
        <v>1886.0710271960934</v>
      </c>
      <c r="E310" s="30"/>
      <c r="F310" s="3">
        <v>0.09</v>
      </c>
      <c r="H310" s="5"/>
      <c r="I310" s="5"/>
      <c r="J310" s="16"/>
      <c r="K310" s="5"/>
    </row>
    <row r="311" spans="1:11" x14ac:dyDescent="0.25">
      <c r="A311" t="s">
        <v>82</v>
      </c>
      <c r="B311" t="s">
        <v>83</v>
      </c>
      <c r="C311" s="4">
        <v>3800</v>
      </c>
      <c r="D311" s="15">
        <v>930.78829913573441</v>
      </c>
      <c r="E311" s="30"/>
      <c r="F311" s="3">
        <v>0.06</v>
      </c>
      <c r="H311" s="5"/>
      <c r="I311" s="5"/>
      <c r="J311" s="16"/>
      <c r="K311" s="5"/>
    </row>
    <row r="312" spans="1:11" x14ac:dyDescent="0.25">
      <c r="A312" t="s">
        <v>62</v>
      </c>
      <c r="B312" t="s">
        <v>63</v>
      </c>
      <c r="C312" s="4">
        <v>6200</v>
      </c>
      <c r="D312" s="15">
        <v>1518.6545933267246</v>
      </c>
      <c r="E312" s="30"/>
      <c r="F312" s="3">
        <v>7.0000000000000007E-2</v>
      </c>
      <c r="G312">
        <v>1</v>
      </c>
      <c r="H312" s="5"/>
      <c r="I312" s="5"/>
      <c r="J312" s="16"/>
      <c r="K312" s="5"/>
    </row>
    <row r="313" spans="1:11" x14ac:dyDescent="0.25">
      <c r="A313" t="s">
        <v>81</v>
      </c>
      <c r="B313" t="s">
        <v>23</v>
      </c>
      <c r="C313" s="4">
        <v>4100</v>
      </c>
      <c r="D313" s="15">
        <v>1004.2715859096081</v>
      </c>
      <c r="E313" s="30"/>
      <c r="F313" s="3">
        <v>7.0000000000000007E-2</v>
      </c>
      <c r="G313">
        <v>1</v>
      </c>
      <c r="H313" s="5"/>
      <c r="I313" s="5"/>
      <c r="J313" s="16"/>
      <c r="K313" s="5"/>
    </row>
    <row r="314" spans="1:11" x14ac:dyDescent="0.25">
      <c r="A314" t="s">
        <v>14</v>
      </c>
      <c r="B314" t="s">
        <v>15</v>
      </c>
      <c r="C314" s="4">
        <v>4100</v>
      </c>
      <c r="D314" s="15">
        <v>1004.2715859096081</v>
      </c>
      <c r="E314" s="30"/>
      <c r="F314" s="3">
        <v>0.1</v>
      </c>
      <c r="H314" s="5"/>
      <c r="I314" s="5"/>
      <c r="J314" s="16"/>
      <c r="K314" s="5"/>
    </row>
    <row r="315" spans="1:11" x14ac:dyDescent="0.25">
      <c r="A315" t="s">
        <v>64</v>
      </c>
      <c r="B315" t="s">
        <v>65</v>
      </c>
      <c r="C315" s="4">
        <v>8900</v>
      </c>
      <c r="D315" s="15">
        <v>2180.0041742915882</v>
      </c>
      <c r="E315" s="30"/>
      <c r="F315" s="3">
        <v>0.06</v>
      </c>
      <c r="H315" s="5"/>
      <c r="I315" s="5"/>
      <c r="J315" s="16"/>
      <c r="K315" s="5"/>
    </row>
    <row r="316" spans="1:11" x14ac:dyDescent="0.25">
      <c r="A316" t="s">
        <v>58</v>
      </c>
      <c r="B316" t="s">
        <v>59</v>
      </c>
      <c r="C316" s="4">
        <v>5000</v>
      </c>
      <c r="D316" s="15">
        <v>1224.7214462312295</v>
      </c>
      <c r="E316" s="30"/>
      <c r="F316" s="3">
        <v>0.09</v>
      </c>
      <c r="G316">
        <v>1</v>
      </c>
      <c r="H316" s="5"/>
      <c r="I316" s="5"/>
      <c r="J316" s="16"/>
      <c r="K316" s="5"/>
    </row>
    <row r="317" spans="1:11" x14ac:dyDescent="0.25">
      <c r="A317" t="s">
        <v>12</v>
      </c>
      <c r="B317" t="s">
        <v>86</v>
      </c>
      <c r="C317" s="4">
        <v>15400</v>
      </c>
      <c r="D317" s="15">
        <v>3772.1420543921868</v>
      </c>
      <c r="E317" s="30"/>
      <c r="F317" s="3">
        <v>7.0000000000000007E-2</v>
      </c>
      <c r="G317">
        <v>1</v>
      </c>
      <c r="H317" s="5"/>
      <c r="I317" s="5"/>
      <c r="J317" s="16"/>
      <c r="K317" s="5"/>
    </row>
    <row r="318" spans="1:11" x14ac:dyDescent="0.25">
      <c r="A318" t="s">
        <v>16</v>
      </c>
      <c r="B318" t="s">
        <v>17</v>
      </c>
      <c r="C318" s="4">
        <v>8900</v>
      </c>
      <c r="D318" s="15">
        <v>2180.0041742915882</v>
      </c>
      <c r="E318" s="30"/>
      <c r="F318" s="3">
        <v>0.15</v>
      </c>
      <c r="G318">
        <v>2</v>
      </c>
      <c r="H318" s="5"/>
      <c r="I318" s="5"/>
      <c r="J318" s="16"/>
      <c r="K318" s="5"/>
    </row>
    <row r="319" spans="1:11" x14ac:dyDescent="0.25">
      <c r="A319" t="s">
        <v>14</v>
      </c>
      <c r="B319" t="s">
        <v>15</v>
      </c>
      <c r="C319" s="4">
        <v>3400</v>
      </c>
      <c r="D319" s="15">
        <v>832.81058343723601</v>
      </c>
      <c r="E319" s="30"/>
      <c r="F319" s="3">
        <v>7.0000000000000007E-2</v>
      </c>
      <c r="H319" s="5"/>
      <c r="I319" s="5"/>
      <c r="J319" s="16"/>
      <c r="K319" s="5"/>
    </row>
    <row r="320" spans="1:11" x14ac:dyDescent="0.25">
      <c r="A320" t="s">
        <v>12</v>
      </c>
      <c r="B320" t="s">
        <v>3</v>
      </c>
      <c r="C320" s="4">
        <v>23300</v>
      </c>
      <c r="D320" s="15">
        <v>5707.2019394375293</v>
      </c>
      <c r="E320" s="30"/>
      <c r="F320" s="3">
        <v>0.06</v>
      </c>
      <c r="H320" s="5"/>
      <c r="I320" s="5"/>
      <c r="J320" s="16"/>
      <c r="K320" s="5"/>
    </row>
    <row r="321" spans="1:11" x14ac:dyDescent="0.25">
      <c r="A321" t="s">
        <v>64</v>
      </c>
      <c r="B321" t="s">
        <v>65</v>
      </c>
      <c r="C321" s="4">
        <v>4300</v>
      </c>
      <c r="D321" s="15">
        <v>1053.2604437588573</v>
      </c>
      <c r="E321" s="30"/>
      <c r="F321" s="3">
        <v>0.15</v>
      </c>
      <c r="G321">
        <v>1</v>
      </c>
      <c r="H321" s="5"/>
      <c r="I321" s="5"/>
      <c r="J321" s="16"/>
      <c r="K321" s="5"/>
    </row>
    <row r="322" spans="1:11" x14ac:dyDescent="0.25">
      <c r="A322" t="s">
        <v>18</v>
      </c>
      <c r="B322" t="s">
        <v>19</v>
      </c>
      <c r="C322" s="4">
        <v>4600</v>
      </c>
      <c r="D322" s="15">
        <v>1126.743730532731</v>
      </c>
      <c r="E322" s="30"/>
      <c r="F322" s="3">
        <v>0.05</v>
      </c>
      <c r="G322">
        <v>1</v>
      </c>
      <c r="H322" s="5"/>
      <c r="I322" s="5"/>
      <c r="J322" s="16"/>
      <c r="K322" s="5"/>
    </row>
    <row r="323" spans="1:11" x14ac:dyDescent="0.25">
      <c r="A323" t="s">
        <v>29</v>
      </c>
      <c r="B323" t="s">
        <v>30</v>
      </c>
      <c r="C323" s="4">
        <v>12200</v>
      </c>
      <c r="D323" s="15">
        <v>2988.3203288042</v>
      </c>
      <c r="E323" s="30"/>
      <c r="F323" s="3">
        <v>0.04</v>
      </c>
      <c r="G323">
        <v>1</v>
      </c>
      <c r="H323" s="5"/>
      <c r="I323" s="5"/>
      <c r="J323" s="16"/>
      <c r="K323" s="5"/>
    </row>
    <row r="324" spans="1:11" x14ac:dyDescent="0.25">
      <c r="A324" t="s">
        <v>69</v>
      </c>
      <c r="B324" t="s">
        <v>70</v>
      </c>
      <c r="C324" s="4">
        <v>3400</v>
      </c>
      <c r="D324" s="15">
        <v>832.81058343723601</v>
      </c>
      <c r="E324" s="30"/>
      <c r="F324" s="3">
        <v>0.15</v>
      </c>
      <c r="H324" s="5"/>
      <c r="I324" s="5"/>
      <c r="J324" s="16"/>
      <c r="K324" s="5"/>
    </row>
    <row r="325" spans="1:11" x14ac:dyDescent="0.25">
      <c r="A325" t="s">
        <v>12</v>
      </c>
      <c r="B325" t="s">
        <v>13</v>
      </c>
      <c r="C325" s="4">
        <v>4100</v>
      </c>
      <c r="D325" s="15">
        <v>1004.2715859096081</v>
      </c>
      <c r="E325" s="30"/>
      <c r="F325" s="3">
        <v>7.0000000000000007E-2</v>
      </c>
      <c r="H325" s="5"/>
      <c r="I325" s="5"/>
      <c r="J325" s="16"/>
      <c r="K325" s="5"/>
    </row>
    <row r="326" spans="1:11" x14ac:dyDescent="0.25">
      <c r="A326" t="s">
        <v>76</v>
      </c>
      <c r="B326" t="s">
        <v>77</v>
      </c>
      <c r="C326" s="4">
        <v>7700</v>
      </c>
      <c r="D326" s="15">
        <v>1886.0710271960934</v>
      </c>
      <c r="E326" s="30"/>
      <c r="F326" s="3">
        <v>0.05</v>
      </c>
      <c r="G326">
        <v>2</v>
      </c>
      <c r="H326" s="5"/>
      <c r="I326" s="5"/>
      <c r="J326" s="16"/>
      <c r="K326" s="5"/>
    </row>
    <row r="327" spans="1:11" x14ac:dyDescent="0.25">
      <c r="A327" t="s">
        <v>73</v>
      </c>
      <c r="B327" t="s">
        <v>74</v>
      </c>
      <c r="C327" s="4">
        <v>7700</v>
      </c>
      <c r="D327" s="15">
        <v>1886.0710271960934</v>
      </c>
      <c r="E327" s="30"/>
      <c r="F327" s="3">
        <v>0.05</v>
      </c>
      <c r="H327" s="5"/>
      <c r="I327" s="5"/>
      <c r="J327" s="16"/>
      <c r="K327" s="5"/>
    </row>
    <row r="328" spans="1:11" x14ac:dyDescent="0.25">
      <c r="A328" t="s">
        <v>10</v>
      </c>
      <c r="B328" t="s">
        <v>11</v>
      </c>
      <c r="C328" s="4">
        <v>16000</v>
      </c>
      <c r="D328" s="15">
        <v>3919.1086279399342</v>
      </c>
      <c r="E328" s="30"/>
      <c r="F328" s="3">
        <v>0.15</v>
      </c>
      <c r="G328">
        <v>2</v>
      </c>
      <c r="H328" s="5"/>
      <c r="I328" s="5"/>
      <c r="J328" s="16"/>
      <c r="K328" s="5"/>
    </row>
    <row r="329" spans="1:11" x14ac:dyDescent="0.25">
      <c r="A329" t="s">
        <v>12</v>
      </c>
      <c r="B329" t="s">
        <v>13</v>
      </c>
      <c r="C329" s="4">
        <v>14600</v>
      </c>
      <c r="D329" s="15">
        <v>3576.1866229951897</v>
      </c>
      <c r="E329" s="30"/>
      <c r="F329" s="3">
        <v>7.0000000000000007E-2</v>
      </c>
      <c r="H329" s="5"/>
      <c r="I329" s="5"/>
      <c r="J329" s="16"/>
      <c r="K329" s="5"/>
    </row>
    <row r="330" spans="1:11" x14ac:dyDescent="0.25">
      <c r="A330" t="s">
        <v>12</v>
      </c>
      <c r="B330" t="s">
        <v>24</v>
      </c>
      <c r="C330" s="4">
        <v>2900</v>
      </c>
      <c r="D330" s="15">
        <v>710.33843881411303</v>
      </c>
      <c r="E330" s="30"/>
      <c r="F330" s="3">
        <v>0.06</v>
      </c>
      <c r="H330" s="5"/>
      <c r="I330" s="5"/>
      <c r="J330" s="16"/>
      <c r="K330" s="5"/>
    </row>
    <row r="331" spans="1:11" x14ac:dyDescent="0.25">
      <c r="A331" t="s">
        <v>31</v>
      </c>
      <c r="B331" t="s">
        <v>32</v>
      </c>
      <c r="C331" s="4">
        <v>15400</v>
      </c>
      <c r="D331" s="15">
        <v>3772.1420543921868</v>
      </c>
      <c r="E331" s="30"/>
      <c r="F331" s="3">
        <v>0.04</v>
      </c>
      <c r="H331" s="5"/>
      <c r="I331" s="5"/>
      <c r="J331" s="16"/>
      <c r="K331" s="5"/>
    </row>
    <row r="332" spans="1:11" x14ac:dyDescent="0.25">
      <c r="A332" t="s">
        <v>29</v>
      </c>
      <c r="B332" t="s">
        <v>30</v>
      </c>
      <c r="C332" s="4">
        <v>16000</v>
      </c>
      <c r="D332" s="15">
        <v>3919.1086279399342</v>
      </c>
      <c r="E332" s="30"/>
      <c r="F332" s="3">
        <v>0.04</v>
      </c>
      <c r="G332">
        <v>1</v>
      </c>
      <c r="H332" s="5"/>
      <c r="I332" s="5"/>
      <c r="J332" s="16"/>
      <c r="K332" s="5"/>
    </row>
    <row r="333" spans="1:11" x14ac:dyDescent="0.25">
      <c r="A333" t="s">
        <v>14</v>
      </c>
      <c r="B333" t="s">
        <v>15</v>
      </c>
      <c r="C333" s="4">
        <v>4500</v>
      </c>
      <c r="D333" s="15">
        <v>1102.2493016081064</v>
      </c>
      <c r="E333" s="30"/>
      <c r="F333" s="3">
        <v>7.0000000000000007E-2</v>
      </c>
      <c r="G333">
        <v>1</v>
      </c>
      <c r="H333" s="5"/>
      <c r="I333" s="5"/>
      <c r="J333" s="16"/>
      <c r="K333" s="5"/>
    </row>
    <row r="334" spans="1:11" x14ac:dyDescent="0.25">
      <c r="A334" t="s">
        <v>12</v>
      </c>
      <c r="B334" t="s">
        <v>24</v>
      </c>
      <c r="C334" s="4">
        <v>3400</v>
      </c>
      <c r="D334" s="15">
        <v>832.81058343723601</v>
      </c>
      <c r="E334" s="30"/>
      <c r="F334" s="3">
        <v>0.09</v>
      </c>
      <c r="H334" s="5"/>
      <c r="I334" s="5"/>
      <c r="J334" s="16"/>
      <c r="K334" s="5"/>
    </row>
    <row r="335" spans="1:11" x14ac:dyDescent="0.25">
      <c r="A335" t="s">
        <v>69</v>
      </c>
      <c r="B335" t="s">
        <v>70</v>
      </c>
      <c r="C335" s="4">
        <v>3400</v>
      </c>
      <c r="D335" s="15">
        <v>832.81058343723601</v>
      </c>
      <c r="E335" s="30"/>
      <c r="F335" s="3">
        <v>7.0000000000000007E-2</v>
      </c>
      <c r="H335" s="5"/>
      <c r="I335" s="5"/>
      <c r="J335" s="16"/>
      <c r="K335" s="5"/>
    </row>
    <row r="336" spans="1:11" x14ac:dyDescent="0.25">
      <c r="A336" t="s">
        <v>44</v>
      </c>
      <c r="B336" t="s">
        <v>45</v>
      </c>
      <c r="C336" s="4">
        <v>4500</v>
      </c>
      <c r="D336" s="15">
        <v>1102.2493016081064</v>
      </c>
      <c r="E336" s="30"/>
      <c r="F336" s="3">
        <v>0.04</v>
      </c>
      <c r="G336">
        <v>1</v>
      </c>
      <c r="H336" s="5"/>
      <c r="I336" s="5"/>
      <c r="J336" s="16"/>
      <c r="K336" s="5"/>
    </row>
    <row r="337" spans="1:11" x14ac:dyDescent="0.25">
      <c r="A337" t="s">
        <v>4</v>
      </c>
      <c r="B337" t="s">
        <v>5</v>
      </c>
      <c r="C337" s="4">
        <v>2900</v>
      </c>
      <c r="D337" s="15">
        <v>710.33843881411303</v>
      </c>
      <c r="E337" s="30"/>
      <c r="F337" s="3">
        <v>0.06</v>
      </c>
      <c r="G337">
        <v>1</v>
      </c>
      <c r="H337" s="5"/>
      <c r="I337" s="5"/>
      <c r="J337" s="16"/>
      <c r="K337" s="5"/>
    </row>
    <row r="338" spans="1:11" x14ac:dyDescent="0.25">
      <c r="A338" t="s">
        <v>44</v>
      </c>
      <c r="B338" t="s">
        <v>45</v>
      </c>
      <c r="C338" s="4">
        <v>2900</v>
      </c>
      <c r="D338" s="15">
        <v>710.33843881411303</v>
      </c>
      <c r="E338" s="30"/>
      <c r="F338" s="3">
        <v>0.05</v>
      </c>
      <c r="H338" s="5"/>
      <c r="I338" s="5"/>
      <c r="J338" s="16"/>
      <c r="K338" s="5"/>
    </row>
    <row r="339" spans="1:11" x14ac:dyDescent="0.25">
      <c r="A339" t="s">
        <v>12</v>
      </c>
      <c r="B339" t="s">
        <v>86</v>
      </c>
      <c r="C339" s="4">
        <v>2900</v>
      </c>
      <c r="D339" s="15">
        <v>710.33843881411303</v>
      </c>
      <c r="E339" s="30"/>
      <c r="F339" s="3">
        <v>0.15</v>
      </c>
      <c r="H339" s="5"/>
      <c r="I339" s="5"/>
      <c r="J339" s="16"/>
      <c r="K339" s="5"/>
    </row>
    <row r="340" spans="1:11" x14ac:dyDescent="0.25">
      <c r="A340" t="s">
        <v>29</v>
      </c>
      <c r="B340" t="s">
        <v>30</v>
      </c>
      <c r="C340" s="4">
        <v>4200</v>
      </c>
      <c r="D340" s="15">
        <v>1028.7660148342327</v>
      </c>
      <c r="E340" s="30"/>
      <c r="F340" s="3">
        <v>0.05</v>
      </c>
      <c r="G340">
        <v>1</v>
      </c>
      <c r="H340" s="5"/>
      <c r="I340" s="5"/>
      <c r="J340" s="16"/>
      <c r="K340" s="5"/>
    </row>
    <row r="341" spans="1:11" x14ac:dyDescent="0.25">
      <c r="A341" t="s">
        <v>6</v>
      </c>
      <c r="B341" t="s">
        <v>7</v>
      </c>
      <c r="C341" s="4">
        <v>15400</v>
      </c>
      <c r="D341" s="15">
        <v>3772.1420543921868</v>
      </c>
      <c r="E341" s="30"/>
      <c r="F341" s="3">
        <v>0.05</v>
      </c>
      <c r="G341">
        <v>1</v>
      </c>
      <c r="H341" s="5"/>
      <c r="I341" s="5"/>
      <c r="J341" s="16"/>
      <c r="K341" s="5"/>
    </row>
    <row r="342" spans="1:11" x14ac:dyDescent="0.25">
      <c r="A342" t="s">
        <v>69</v>
      </c>
      <c r="B342" t="s">
        <v>70</v>
      </c>
      <c r="C342" s="4">
        <v>4300</v>
      </c>
      <c r="D342" s="15">
        <v>1053.2604437588573</v>
      </c>
      <c r="E342" s="30"/>
      <c r="F342" s="3">
        <v>0.05</v>
      </c>
      <c r="G342">
        <v>1</v>
      </c>
      <c r="H342" s="5"/>
      <c r="I342" s="5"/>
      <c r="J342" s="16"/>
      <c r="K342" s="5"/>
    </row>
    <row r="343" spans="1:11" x14ac:dyDescent="0.25">
      <c r="A343" t="s">
        <v>29</v>
      </c>
      <c r="B343" t="s">
        <v>9</v>
      </c>
      <c r="C343" s="4">
        <v>2900</v>
      </c>
      <c r="D343" s="15">
        <v>710.33843881411303</v>
      </c>
      <c r="E343" s="30"/>
      <c r="F343" s="3">
        <v>0.1</v>
      </c>
      <c r="H343" s="5"/>
      <c r="I343" s="5"/>
      <c r="J343" s="16"/>
      <c r="K343" s="5"/>
    </row>
    <row r="344" spans="1:11" x14ac:dyDescent="0.25">
      <c r="A344" t="s">
        <v>14</v>
      </c>
      <c r="B344" t="s">
        <v>15</v>
      </c>
      <c r="C344" s="4">
        <v>25000</v>
      </c>
      <c r="D344" s="15">
        <v>6123.6072311561475</v>
      </c>
      <c r="E344" s="30"/>
      <c r="F344" s="3">
        <v>0.09</v>
      </c>
      <c r="H344" s="5"/>
      <c r="I344" s="5"/>
      <c r="J344" s="16"/>
      <c r="K344" s="5"/>
    </row>
    <row r="345" spans="1:11" x14ac:dyDescent="0.25">
      <c r="A345" t="s">
        <v>54</v>
      </c>
      <c r="B345" t="s">
        <v>55</v>
      </c>
      <c r="C345" s="4">
        <v>13500</v>
      </c>
      <c r="D345" s="15">
        <v>3306.7479048243194</v>
      </c>
      <c r="E345" s="30"/>
      <c r="F345" s="3">
        <v>0.04</v>
      </c>
      <c r="H345" s="5"/>
      <c r="I345" s="5"/>
      <c r="J345" s="16"/>
      <c r="K345" s="5"/>
    </row>
    <row r="346" spans="1:11" x14ac:dyDescent="0.25">
      <c r="A346" t="s">
        <v>60</v>
      </c>
      <c r="B346" t="s">
        <v>61</v>
      </c>
      <c r="C346" s="4">
        <v>23300</v>
      </c>
      <c r="D346" s="15">
        <v>5707.2019394375293</v>
      </c>
      <c r="E346" s="30"/>
      <c r="F346" s="3">
        <v>0.04</v>
      </c>
      <c r="H346" s="5"/>
      <c r="I346" s="5"/>
      <c r="J346" s="16"/>
      <c r="K346" s="5"/>
    </row>
    <row r="347" spans="1:11" x14ac:dyDescent="0.25">
      <c r="A347" t="s">
        <v>12</v>
      </c>
      <c r="B347" t="s">
        <v>13</v>
      </c>
      <c r="C347" s="4">
        <v>4100</v>
      </c>
      <c r="D347" s="15">
        <v>1004.2715859096081</v>
      </c>
      <c r="E347" s="30"/>
      <c r="F347" s="3">
        <v>0.05</v>
      </c>
      <c r="G347">
        <v>2</v>
      </c>
      <c r="H347" s="5"/>
      <c r="I347" s="5"/>
      <c r="J347" s="16"/>
      <c r="K347" s="5"/>
    </row>
    <row r="348" spans="1:11" x14ac:dyDescent="0.25">
      <c r="A348" t="s">
        <v>75</v>
      </c>
      <c r="B348" t="s">
        <v>21</v>
      </c>
      <c r="C348" s="4">
        <v>3800</v>
      </c>
      <c r="D348" s="15">
        <v>930.78829913573441</v>
      </c>
      <c r="E348" s="30"/>
      <c r="F348" s="3">
        <v>7.0000000000000007E-2</v>
      </c>
      <c r="H348" s="5"/>
      <c r="I348" s="5"/>
      <c r="J348" s="16"/>
      <c r="K348" s="5"/>
    </row>
    <row r="349" spans="1:11" x14ac:dyDescent="0.25">
      <c r="A349" t="s">
        <v>67</v>
      </c>
      <c r="B349" t="s">
        <v>68</v>
      </c>
      <c r="C349" s="4">
        <v>3800</v>
      </c>
      <c r="D349" s="15">
        <v>930.78829913573441</v>
      </c>
      <c r="E349" s="30"/>
      <c r="F349" s="3">
        <v>0.06</v>
      </c>
      <c r="G349">
        <v>1</v>
      </c>
      <c r="H349" s="5"/>
      <c r="I349" s="5"/>
      <c r="J349" s="16"/>
      <c r="K349" s="5"/>
    </row>
    <row r="350" spans="1:11" x14ac:dyDescent="0.25">
      <c r="A350" t="s">
        <v>50</v>
      </c>
      <c r="B350" t="s">
        <v>51</v>
      </c>
      <c r="C350" s="4">
        <v>2900</v>
      </c>
      <c r="D350" s="15">
        <v>710.33843881411303</v>
      </c>
      <c r="E350" s="30"/>
      <c r="F350" s="3">
        <v>0.15</v>
      </c>
      <c r="G350">
        <v>3</v>
      </c>
      <c r="H350" s="5"/>
      <c r="I350" s="5"/>
      <c r="J350" s="16"/>
      <c r="K350" s="5"/>
    </row>
    <row r="351" spans="1:11" x14ac:dyDescent="0.25">
      <c r="A351" t="s">
        <v>29</v>
      </c>
      <c r="B351" t="s">
        <v>9</v>
      </c>
      <c r="C351" s="4">
        <v>2900</v>
      </c>
      <c r="D351" s="15">
        <v>710.33843881411303</v>
      </c>
      <c r="E351" s="30"/>
      <c r="F351" s="3">
        <v>0.06</v>
      </c>
      <c r="H351" s="5"/>
      <c r="I351" s="5"/>
      <c r="J351" s="16"/>
      <c r="K351" s="5"/>
    </row>
    <row r="352" spans="1:11" x14ac:dyDescent="0.25">
      <c r="A352" t="s">
        <v>66</v>
      </c>
      <c r="B352" t="s">
        <v>13</v>
      </c>
      <c r="C352" s="4">
        <v>4500</v>
      </c>
      <c r="D352" s="15">
        <v>1102.2493016081064</v>
      </c>
      <c r="E352" s="30"/>
      <c r="F352" s="3">
        <v>7.0000000000000007E-2</v>
      </c>
      <c r="G352">
        <v>1</v>
      </c>
      <c r="H352" s="5"/>
      <c r="I352" s="5"/>
      <c r="J352" s="16"/>
      <c r="K352" s="5"/>
    </row>
    <row r="353" spans="1:11" x14ac:dyDescent="0.25">
      <c r="A353" t="s">
        <v>31</v>
      </c>
      <c r="B353" t="s">
        <v>32</v>
      </c>
      <c r="C353" s="4">
        <v>3800</v>
      </c>
      <c r="D353" s="15">
        <v>930.78829913573441</v>
      </c>
      <c r="E353" s="30"/>
      <c r="F353" s="3">
        <v>0.09</v>
      </c>
      <c r="G353">
        <v>1</v>
      </c>
      <c r="H353" s="5"/>
      <c r="I353" s="5"/>
      <c r="J353" s="16"/>
      <c r="K353" s="5"/>
    </row>
    <row r="354" spans="1:11" x14ac:dyDescent="0.25">
      <c r="A354" t="s">
        <v>78</v>
      </c>
      <c r="B354" t="s">
        <v>63</v>
      </c>
      <c r="C354" s="4">
        <v>12200</v>
      </c>
      <c r="D354" s="15">
        <v>2988.3203288042</v>
      </c>
      <c r="E354" s="30"/>
      <c r="F354" s="3">
        <v>0.09</v>
      </c>
      <c r="G354">
        <v>2</v>
      </c>
      <c r="H354" s="5"/>
      <c r="I354" s="5"/>
      <c r="J354" s="16"/>
      <c r="K354" s="5"/>
    </row>
    <row r="355" spans="1:11" x14ac:dyDescent="0.25">
      <c r="A355" t="s">
        <v>16</v>
      </c>
      <c r="B355" t="s">
        <v>17</v>
      </c>
      <c r="C355" s="4">
        <v>6200</v>
      </c>
      <c r="D355" s="15">
        <v>1518.6545933267246</v>
      </c>
      <c r="E355" s="30"/>
      <c r="F355" s="3">
        <v>0.06</v>
      </c>
      <c r="G355">
        <v>2</v>
      </c>
      <c r="H355" s="5"/>
      <c r="I355" s="5"/>
      <c r="J355" s="16"/>
      <c r="K355" s="5"/>
    </row>
    <row r="356" spans="1:11" x14ac:dyDescent="0.25">
      <c r="A356" t="s">
        <v>20</v>
      </c>
      <c r="B356" t="s">
        <v>21</v>
      </c>
      <c r="C356" s="4">
        <v>28000</v>
      </c>
      <c r="D356" s="15">
        <v>6858.4400988948846</v>
      </c>
      <c r="E356" s="30"/>
      <c r="F356" s="3">
        <v>0.1</v>
      </c>
      <c r="H356" s="5"/>
      <c r="I356" s="5"/>
      <c r="J356" s="16"/>
      <c r="K356" s="5"/>
    </row>
    <row r="357" spans="1:11" x14ac:dyDescent="0.25">
      <c r="A357" t="s">
        <v>12</v>
      </c>
      <c r="B357" t="s">
        <v>24</v>
      </c>
      <c r="C357" s="4">
        <v>6200</v>
      </c>
      <c r="D357" s="15">
        <v>1518.6545933267246</v>
      </c>
      <c r="E357" s="30"/>
      <c r="F357" s="3">
        <v>7.0000000000000007E-2</v>
      </c>
      <c r="G357">
        <v>2</v>
      </c>
      <c r="H357" s="5"/>
      <c r="I357" s="5"/>
      <c r="J357" s="16"/>
      <c r="K357" s="5"/>
    </row>
    <row r="358" spans="1:11" x14ac:dyDescent="0.25">
      <c r="A358" t="s">
        <v>80</v>
      </c>
      <c r="B358" t="s">
        <v>57</v>
      </c>
      <c r="C358" s="4">
        <v>4300</v>
      </c>
      <c r="D358" s="15">
        <v>1053.2604437588573</v>
      </c>
      <c r="E358" s="30"/>
      <c r="F358" s="3">
        <v>0.05</v>
      </c>
      <c r="G358">
        <v>1</v>
      </c>
      <c r="H358" s="5"/>
      <c r="I358" s="5"/>
      <c r="J358" s="16"/>
      <c r="K358" s="5"/>
    </row>
    <row r="359" spans="1:11" x14ac:dyDescent="0.25">
      <c r="A359" t="s">
        <v>42</v>
      </c>
      <c r="B359" t="s">
        <v>43</v>
      </c>
      <c r="C359" s="4">
        <v>2900</v>
      </c>
      <c r="D359" s="15">
        <v>710.33843881411303</v>
      </c>
      <c r="E359" s="30"/>
      <c r="F359" s="3">
        <v>0.06</v>
      </c>
      <c r="G359">
        <v>2</v>
      </c>
      <c r="H359" s="5"/>
      <c r="I359" s="5"/>
      <c r="J359" s="16"/>
      <c r="K359" s="5"/>
    </row>
    <row r="360" spans="1:11" x14ac:dyDescent="0.25">
      <c r="A360" t="s">
        <v>18</v>
      </c>
      <c r="B360" t="s">
        <v>19</v>
      </c>
      <c r="C360" s="4">
        <v>13500</v>
      </c>
      <c r="D360" s="15">
        <v>3306.7479048243194</v>
      </c>
      <c r="E360" s="30"/>
      <c r="F360" s="3">
        <v>0.06</v>
      </c>
      <c r="H360" s="5"/>
      <c r="I360" s="5"/>
      <c r="J360" s="16"/>
      <c r="K360" s="5"/>
    </row>
    <row r="361" spans="1:11" x14ac:dyDescent="0.25">
      <c r="A361" t="s">
        <v>40</v>
      </c>
      <c r="B361" t="s">
        <v>41</v>
      </c>
      <c r="C361" s="4">
        <v>4100</v>
      </c>
      <c r="D361" s="15">
        <v>1004.2715859096081</v>
      </c>
      <c r="E361" s="30"/>
      <c r="F361" s="3">
        <v>0.06</v>
      </c>
      <c r="H361" s="5"/>
      <c r="I361" s="5"/>
      <c r="J361" s="16"/>
      <c r="K361" s="5"/>
    </row>
    <row r="362" spans="1:11" x14ac:dyDescent="0.25">
      <c r="A362" t="s">
        <v>64</v>
      </c>
      <c r="B362" t="s">
        <v>65</v>
      </c>
      <c r="C362" s="4">
        <v>4600</v>
      </c>
      <c r="D362" s="15">
        <v>1126.743730532731</v>
      </c>
      <c r="E362" s="30"/>
      <c r="F362" s="3">
        <v>0.09</v>
      </c>
      <c r="H362" s="5"/>
      <c r="I362" s="5"/>
      <c r="J362" s="16"/>
      <c r="K362" s="5"/>
    </row>
    <row r="363" spans="1:11" x14ac:dyDescent="0.25">
      <c r="A363" t="s">
        <v>54</v>
      </c>
      <c r="B363" t="s">
        <v>55</v>
      </c>
      <c r="C363" s="4">
        <v>12200</v>
      </c>
      <c r="D363" s="15">
        <v>2988.3203288042</v>
      </c>
      <c r="E363" s="30"/>
      <c r="F363" s="3">
        <v>0.04</v>
      </c>
      <c r="G363">
        <v>1</v>
      </c>
      <c r="H363" s="5"/>
      <c r="I363" s="5"/>
      <c r="J363" s="16"/>
      <c r="K363" s="5"/>
    </row>
    <row r="364" spans="1:11" x14ac:dyDescent="0.25">
      <c r="A364" t="s">
        <v>37</v>
      </c>
      <c r="B364" t="s">
        <v>38</v>
      </c>
      <c r="C364" s="4">
        <v>4100</v>
      </c>
      <c r="D364" s="15">
        <v>1004.2715859096081</v>
      </c>
      <c r="E364" s="30"/>
      <c r="F364" s="3">
        <v>7.0000000000000007E-2</v>
      </c>
      <c r="H364" s="5"/>
      <c r="I364" s="5"/>
      <c r="J364" s="16"/>
      <c r="K364" s="5"/>
    </row>
    <row r="365" spans="1:11" x14ac:dyDescent="0.25">
      <c r="A365" t="s">
        <v>6</v>
      </c>
      <c r="B365" t="s">
        <v>7</v>
      </c>
      <c r="C365" s="4">
        <v>4100</v>
      </c>
      <c r="D365" s="15">
        <v>1004.2715859096081</v>
      </c>
      <c r="E365" s="30"/>
      <c r="F365" s="3">
        <v>7.0000000000000007E-2</v>
      </c>
      <c r="G365">
        <v>1</v>
      </c>
      <c r="H365" s="5"/>
      <c r="I365" s="5"/>
      <c r="J365" s="16"/>
      <c r="K365" s="5"/>
    </row>
    <row r="366" spans="1:11" x14ac:dyDescent="0.25">
      <c r="A366" t="s">
        <v>56</v>
      </c>
      <c r="B366" t="s">
        <v>57</v>
      </c>
      <c r="C366" s="4">
        <v>13500</v>
      </c>
      <c r="D366" s="15">
        <v>3306.7479048243194</v>
      </c>
      <c r="E366" s="30"/>
      <c r="F366" s="3">
        <v>0.06</v>
      </c>
      <c r="G366">
        <v>3</v>
      </c>
      <c r="H366" s="5"/>
      <c r="I366" s="5"/>
      <c r="J366" s="16"/>
      <c r="K366" s="5"/>
    </row>
    <row r="367" spans="1:11" x14ac:dyDescent="0.25">
      <c r="A367" t="s">
        <v>75</v>
      </c>
      <c r="B367" t="s">
        <v>21</v>
      </c>
      <c r="C367" s="4">
        <v>14600</v>
      </c>
      <c r="D367" s="15">
        <v>3576.1866229951897</v>
      </c>
      <c r="E367" s="30"/>
      <c r="F367" s="3">
        <v>0.06</v>
      </c>
      <c r="H367" s="5"/>
      <c r="I367" s="5"/>
      <c r="J367" s="16"/>
      <c r="K367" s="5"/>
    </row>
    <row r="368" spans="1:11" x14ac:dyDescent="0.25">
      <c r="A368" t="s">
        <v>80</v>
      </c>
      <c r="B368" t="s">
        <v>57</v>
      </c>
      <c r="C368" s="4">
        <v>2900</v>
      </c>
      <c r="D368" s="15">
        <v>710.33843881411303</v>
      </c>
      <c r="E368" s="30"/>
      <c r="F368" s="3">
        <v>0.1</v>
      </c>
      <c r="H368" s="5"/>
      <c r="I368" s="5"/>
      <c r="J368" s="16"/>
      <c r="K368" s="5"/>
    </row>
    <row r="369" spans="1:11" x14ac:dyDescent="0.25">
      <c r="A369" t="s">
        <v>39</v>
      </c>
      <c r="B369" t="s">
        <v>30</v>
      </c>
      <c r="C369" s="4">
        <v>4300</v>
      </c>
      <c r="D369" s="15">
        <v>1053.2604437588573</v>
      </c>
      <c r="E369" s="30"/>
      <c r="F369" s="3">
        <v>0.05</v>
      </c>
      <c r="H369" s="5"/>
      <c r="I369" s="5"/>
      <c r="J369" s="16"/>
      <c r="K369" s="5"/>
    </row>
    <row r="370" spans="1:11" x14ac:dyDescent="0.25">
      <c r="A370" t="s">
        <v>58</v>
      </c>
      <c r="B370" t="s">
        <v>59</v>
      </c>
      <c r="C370" s="4">
        <v>3800</v>
      </c>
      <c r="D370" s="15">
        <v>930.78829913573441</v>
      </c>
      <c r="E370" s="30"/>
      <c r="F370" s="3">
        <v>0.06</v>
      </c>
      <c r="G370">
        <v>2</v>
      </c>
      <c r="H370" s="5"/>
      <c r="I370" s="5"/>
      <c r="J370" s="16"/>
      <c r="K370" s="5"/>
    </row>
    <row r="371" spans="1:11" x14ac:dyDescent="0.25">
      <c r="A371" t="s">
        <v>12</v>
      </c>
      <c r="B371" t="s">
        <v>86</v>
      </c>
      <c r="C371" s="4">
        <v>4200</v>
      </c>
      <c r="D371" s="15">
        <v>1028.7660148342327</v>
      </c>
      <c r="E371" s="30"/>
      <c r="F371" s="3">
        <v>0.05</v>
      </c>
      <c r="G371">
        <v>2</v>
      </c>
      <c r="H371" s="5"/>
      <c r="I371" s="5"/>
      <c r="J371" s="16"/>
      <c r="K371" s="5"/>
    </row>
    <row r="372" spans="1:11" x14ac:dyDescent="0.25">
      <c r="A372" t="s">
        <v>20</v>
      </c>
      <c r="B372" t="s">
        <v>21</v>
      </c>
      <c r="C372" s="4">
        <v>7700</v>
      </c>
      <c r="D372" s="15">
        <v>1886.0710271960934</v>
      </c>
      <c r="E372" s="30"/>
      <c r="F372" s="3">
        <v>0.1</v>
      </c>
      <c r="G372">
        <v>2</v>
      </c>
      <c r="H372" s="5"/>
      <c r="I372" s="5"/>
      <c r="J372" s="16"/>
      <c r="K372" s="5"/>
    </row>
    <row r="373" spans="1:11" x14ac:dyDescent="0.25">
      <c r="A373" t="s">
        <v>75</v>
      </c>
      <c r="B373" t="s">
        <v>21</v>
      </c>
      <c r="C373" s="4">
        <v>12200</v>
      </c>
      <c r="D373" s="15">
        <v>2988.3203288042</v>
      </c>
      <c r="E373" s="30"/>
      <c r="F373" s="3">
        <v>0.05</v>
      </c>
      <c r="G373">
        <v>5</v>
      </c>
      <c r="H373" s="5"/>
      <c r="I373" s="5"/>
      <c r="J373" s="16"/>
      <c r="K373" s="5"/>
    </row>
    <row r="374" spans="1:11" x14ac:dyDescent="0.25">
      <c r="A374" t="s">
        <v>4</v>
      </c>
      <c r="B374" t="s">
        <v>5</v>
      </c>
      <c r="C374" s="4">
        <v>6200</v>
      </c>
      <c r="D374" s="15">
        <v>1518.6545933267246</v>
      </c>
      <c r="E374" s="30"/>
      <c r="F374" s="3">
        <v>0.04</v>
      </c>
      <c r="G374">
        <v>1</v>
      </c>
      <c r="H374" s="5"/>
      <c r="I374" s="5"/>
      <c r="J374" s="16"/>
      <c r="K374" s="5"/>
    </row>
    <row r="375" spans="1:11" x14ac:dyDescent="0.25">
      <c r="A375" t="s">
        <v>4</v>
      </c>
      <c r="B375" t="s">
        <v>5</v>
      </c>
      <c r="C375" s="4">
        <v>3800</v>
      </c>
      <c r="D375" s="15">
        <v>930.78829913573441</v>
      </c>
      <c r="E375" s="30"/>
      <c r="F375" s="3">
        <v>0.1</v>
      </c>
      <c r="G375">
        <v>1</v>
      </c>
      <c r="H375" s="5"/>
      <c r="I375" s="5"/>
      <c r="J375" s="16"/>
      <c r="K375" s="5"/>
    </row>
    <row r="376" spans="1:11" x14ac:dyDescent="0.25">
      <c r="A376" t="s">
        <v>33</v>
      </c>
      <c r="B376" t="s">
        <v>34</v>
      </c>
      <c r="C376" s="4">
        <v>4500</v>
      </c>
      <c r="D376" s="15">
        <v>1102.2493016081064</v>
      </c>
      <c r="E376" s="30"/>
      <c r="F376" s="3">
        <v>0.09</v>
      </c>
      <c r="H376" s="5"/>
      <c r="I376" s="5"/>
      <c r="J376" s="16"/>
      <c r="K376" s="5"/>
    </row>
    <row r="377" spans="1:11" x14ac:dyDescent="0.25">
      <c r="A377" t="s">
        <v>26</v>
      </c>
      <c r="B377" t="s">
        <v>9</v>
      </c>
      <c r="C377" s="4">
        <v>4100</v>
      </c>
      <c r="D377" s="15">
        <v>1004.2715859096081</v>
      </c>
      <c r="E377" s="30"/>
      <c r="F377" s="3">
        <v>0.06</v>
      </c>
      <c r="H377" s="5"/>
      <c r="I377" s="5"/>
      <c r="J377" s="16"/>
      <c r="K377" s="5"/>
    </row>
    <row r="378" spans="1:11" x14ac:dyDescent="0.25">
      <c r="A378" t="s">
        <v>12</v>
      </c>
      <c r="B378" t="s">
        <v>13</v>
      </c>
      <c r="C378" s="4">
        <v>12200</v>
      </c>
      <c r="D378" s="15">
        <v>2988.3203288042</v>
      </c>
      <c r="E378" s="30"/>
      <c r="F378" s="3">
        <v>0.09</v>
      </c>
      <c r="G378">
        <v>1</v>
      </c>
      <c r="H378" s="5"/>
      <c r="I378" s="5"/>
      <c r="J378" s="16"/>
      <c r="K378" s="5"/>
    </row>
    <row r="379" spans="1:11" x14ac:dyDescent="0.25">
      <c r="A379" t="s">
        <v>12</v>
      </c>
      <c r="B379" t="s">
        <v>13</v>
      </c>
      <c r="C379" s="4">
        <v>2900</v>
      </c>
      <c r="D379" s="15">
        <v>710.33843881411303</v>
      </c>
      <c r="E379" s="30"/>
      <c r="F379" s="3">
        <v>0.06</v>
      </c>
      <c r="H379" s="5"/>
      <c r="I379" s="5"/>
      <c r="J379" s="16"/>
      <c r="K379" s="5"/>
    </row>
    <row r="380" spans="1:11" x14ac:dyDescent="0.25">
      <c r="A380" t="s">
        <v>54</v>
      </c>
      <c r="B380" t="s">
        <v>55</v>
      </c>
      <c r="C380" s="4">
        <v>25000</v>
      </c>
      <c r="D380" s="15">
        <v>6123.6072311561475</v>
      </c>
      <c r="E380" s="30"/>
      <c r="F380" s="3">
        <v>7.0000000000000007E-2</v>
      </c>
      <c r="H380" s="5"/>
      <c r="I380" s="5"/>
      <c r="J380" s="16"/>
      <c r="K380" s="5"/>
    </row>
    <row r="381" spans="1:11" x14ac:dyDescent="0.25">
      <c r="A381" t="s">
        <v>12</v>
      </c>
      <c r="B381" t="s">
        <v>24</v>
      </c>
      <c r="C381" s="4">
        <v>4600</v>
      </c>
      <c r="D381" s="15">
        <v>1126.743730532731</v>
      </c>
      <c r="E381" s="30"/>
      <c r="F381" s="3">
        <v>0.05</v>
      </c>
      <c r="H381" s="5"/>
      <c r="I381" s="5"/>
      <c r="J381" s="16"/>
      <c r="K381" s="5"/>
    </row>
    <row r="382" spans="1:11" x14ac:dyDescent="0.25">
      <c r="A382" t="s">
        <v>8</v>
      </c>
      <c r="B382" t="s">
        <v>9</v>
      </c>
      <c r="C382" s="4">
        <v>3800</v>
      </c>
      <c r="D382" s="15">
        <v>930.78829913573441</v>
      </c>
      <c r="E382" s="30"/>
      <c r="F382" s="3">
        <v>0.1</v>
      </c>
      <c r="H382" s="5"/>
      <c r="I382" s="5"/>
      <c r="J382" s="16"/>
      <c r="K382" s="5"/>
    </row>
    <row r="383" spans="1:11" x14ac:dyDescent="0.25">
      <c r="A383" t="s">
        <v>54</v>
      </c>
      <c r="B383" t="s">
        <v>55</v>
      </c>
      <c r="C383" s="4">
        <v>12200</v>
      </c>
      <c r="D383" s="15">
        <v>2988.3203288042</v>
      </c>
      <c r="E383" s="30"/>
      <c r="F383" s="3">
        <v>0.06</v>
      </c>
      <c r="H383" s="5"/>
      <c r="I383" s="5"/>
      <c r="J383" s="16"/>
      <c r="K383" s="5"/>
    </row>
    <row r="384" spans="1:11" x14ac:dyDescent="0.25">
      <c r="A384" t="s">
        <v>79</v>
      </c>
      <c r="B384" t="s">
        <v>47</v>
      </c>
      <c r="C384" s="4">
        <v>6900</v>
      </c>
      <c r="D384" s="15">
        <v>1690.1155957990966</v>
      </c>
      <c r="E384" s="30"/>
      <c r="F384" s="3">
        <v>0.05</v>
      </c>
      <c r="H384" s="5"/>
      <c r="I384" s="5"/>
      <c r="J384" s="16"/>
      <c r="K384" s="5"/>
    </row>
    <row r="385" spans="1:11" x14ac:dyDescent="0.25">
      <c r="A385" t="s">
        <v>62</v>
      </c>
      <c r="B385" t="s">
        <v>63</v>
      </c>
      <c r="C385" s="4">
        <v>12200</v>
      </c>
      <c r="D385" s="15">
        <v>2988.3203288042</v>
      </c>
      <c r="E385" s="30"/>
      <c r="F385" s="3">
        <v>0.06</v>
      </c>
      <c r="G385">
        <v>2</v>
      </c>
      <c r="H385" s="5"/>
      <c r="I385" s="5"/>
      <c r="J385" s="16"/>
      <c r="K385" s="5"/>
    </row>
    <row r="386" spans="1:11" x14ac:dyDescent="0.25">
      <c r="A386" t="s">
        <v>10</v>
      </c>
      <c r="B386" t="s">
        <v>11</v>
      </c>
      <c r="C386" s="4">
        <v>3800</v>
      </c>
      <c r="D386" s="15">
        <v>930.78829913573441</v>
      </c>
      <c r="E386" s="30"/>
      <c r="F386" s="3">
        <v>0.06</v>
      </c>
      <c r="H386" s="5"/>
      <c r="I386" s="5"/>
      <c r="J386" s="16"/>
      <c r="K386" s="5"/>
    </row>
    <row r="387" spans="1:11" x14ac:dyDescent="0.25">
      <c r="A387" t="s">
        <v>18</v>
      </c>
      <c r="B387" t="s">
        <v>19</v>
      </c>
      <c r="C387" s="4">
        <v>3800</v>
      </c>
      <c r="D387" s="15">
        <v>930.78829913573441</v>
      </c>
      <c r="E387" s="30"/>
      <c r="F387" s="3">
        <v>0.09</v>
      </c>
      <c r="H387" s="5"/>
      <c r="I387" s="5"/>
      <c r="J387" s="16"/>
      <c r="K387" s="5"/>
    </row>
    <row r="388" spans="1:11" x14ac:dyDescent="0.25">
      <c r="A388" t="s">
        <v>54</v>
      </c>
      <c r="B388" t="s">
        <v>55</v>
      </c>
      <c r="C388" s="4">
        <v>20000</v>
      </c>
      <c r="D388" s="15">
        <v>4898.885784924918</v>
      </c>
      <c r="E388" s="30"/>
      <c r="F388" s="3">
        <v>0.15</v>
      </c>
      <c r="H388" s="5"/>
      <c r="I388" s="5"/>
      <c r="J388" s="16"/>
      <c r="K388" s="5"/>
    </row>
    <row r="389" spans="1:11" x14ac:dyDescent="0.25">
      <c r="D389" s="15"/>
      <c r="E389" s="15"/>
      <c r="F389" s="15"/>
      <c r="G389" s="15"/>
      <c r="H389" s="15"/>
      <c r="I389" s="15"/>
      <c r="J389" s="15"/>
    </row>
    <row r="390" spans="1:11" x14ac:dyDescent="0.25">
      <c r="I390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9160-2B0D-41B2-974D-81015838EB65}">
  <sheetPr>
    <tabColor theme="5" tint="0.79998168889431442"/>
  </sheetPr>
  <dimension ref="A1:N390"/>
  <sheetViews>
    <sheetView workbookViewId="0">
      <selection activeCell="A2" sqref="A2"/>
    </sheetView>
  </sheetViews>
  <sheetFormatPr defaultRowHeight="15" x14ac:dyDescent="0.25"/>
  <cols>
    <col min="1" max="1" width="16" customWidth="1"/>
    <col min="2" max="2" width="10.7109375" bestFit="1" customWidth="1"/>
    <col min="3" max="3" width="17.140625" style="2" customWidth="1"/>
    <col min="4" max="4" width="24.7109375" bestFit="1" customWidth="1"/>
    <col min="5" max="5" width="16.140625" style="6" customWidth="1"/>
    <col min="6" max="6" width="12.5703125" style="10" customWidth="1"/>
    <col min="7" max="7" width="12.5703125" customWidth="1"/>
    <col min="8" max="8" width="16.85546875" customWidth="1"/>
    <col min="9" max="9" width="20.42578125" customWidth="1"/>
    <col min="10" max="10" width="24.5703125" customWidth="1"/>
    <col min="11" max="11" width="18.85546875" customWidth="1"/>
    <col min="12" max="12" width="9.85546875" bestFit="1" customWidth="1"/>
    <col min="13" max="13" width="15.42578125" bestFit="1" customWidth="1"/>
    <col min="14" max="14" width="9.42578125" bestFit="1" customWidth="1"/>
  </cols>
  <sheetData>
    <row r="1" spans="1:14" s="14" customFormat="1" x14ac:dyDescent="0.25">
      <c r="A1" s="11" t="s">
        <v>91</v>
      </c>
      <c r="B1" s="11"/>
      <c r="C1" s="12"/>
      <c r="D1" s="11"/>
      <c r="E1" s="13">
        <f ca="1">IF(E7="",0,IF(_xlfn.ISFORMULA(E7),IF(FIND("$3",_xlfn.FORMULATEXT(E7))&lt;&gt;0,IF(FIND("C7",_xlfn.FORMULATEXT(E7))&lt;&gt;0,IF(ROUND(ROUND(SUM(E7:E388),2)-ROUNDDOWN(SUM(E7:E388),0),2)=0.57,(ROUND(SUM(E7:E388),2)-FLOOR(SUM(E7:E388),2))*1000,44),404),307),1289))</f>
        <v>0</v>
      </c>
      <c r="F1" s="13"/>
      <c r="G1" s="13"/>
      <c r="H1" s="13">
        <f ca="1">IF(H7="",0,IF(_xlfn.ISFORMULA(H7),IF(FIND("C7",_xlfn.FORMULATEXT(H7))&lt;&gt;0,IF(FIND("G7",_xlfn.FORMULATEXT(H7))&lt;&gt;0,IF(ROUND(ROUND(SUM(H7:H388),2)-ROUNDDOWN(SUM(H7:H388),0),2)&lt;&gt;0.27,15,(ROUND(SUM(H7:H388),2)-ROUNDDOWN(SUM(H7:H388),0))*2000),405),210),155))</f>
        <v>0</v>
      </c>
      <c r="I1" s="11">
        <f ca="1">IF(I8="",0,IF(_xlfn.ISFORMULA(I7),IF(MID(_xlfn.FORMULATEXT(I7),3,1)="e",IF(I7="",IF(I10=600,IF((COUNTIF(I7:I388,"")-33)/3=50,(COUNTIF(I7:I388,"600")-1)/3,(COUNTIF(I7:I388,"")-3)/6),COUNTIF(I7:I388,"")/10),(COUNTIF(I7:I388,"")-3)/20),COUNTIF(I7:I388,"")/1.5),(COUNTIF(I7:I388,"")-3)/9))</f>
        <v>0</v>
      </c>
      <c r="J1" s="17">
        <f>IF(J7="",0,ROUND(AVERAGE(J7:J388),2))</f>
        <v>0</v>
      </c>
      <c r="K1" s="11">
        <f ca="1">IF(K7="",0,IF(_xlfn.ISFORMULA(K7),IF(MID(_xlfn.FORMULATEXT(K7),3,1)="e",IF(FIND("$3",_xlfn.FORMULATEXT(K7))&lt;&gt;0,IF(FIND("$4",_xlfn.FORMULATEXT(K7))&lt;&gt;0,IF(ROUND(AVERAGE(K7:K388),0)+43=1000,ROUND(AVERAGE(K7:K388),0),ROUND(MIN(K7:K388),0)),ROUND(MAX(K7:K388),0)),ROUND(MIN(K7:K388),0)-10),1125),39))</f>
        <v>0</v>
      </c>
      <c r="L1" s="11"/>
    </row>
    <row r="2" spans="1:14" ht="15.75" thickBot="1" x14ac:dyDescent="0.3">
      <c r="A2" s="1"/>
    </row>
    <row r="3" spans="1:14" x14ac:dyDescent="0.25">
      <c r="D3" s="37" t="s">
        <v>92</v>
      </c>
      <c r="E3" s="38">
        <v>4.4362680599999997</v>
      </c>
      <c r="I3" s="37" t="s">
        <v>104</v>
      </c>
      <c r="J3" s="43">
        <v>75</v>
      </c>
      <c r="K3" s="32"/>
    </row>
    <row r="4" spans="1:14" ht="15.75" thickBot="1" x14ac:dyDescent="0.3">
      <c r="D4" s="39" t="s">
        <v>94</v>
      </c>
      <c r="E4" s="40">
        <v>4.0825609900000002</v>
      </c>
      <c r="I4" s="39" t="s">
        <v>105</v>
      </c>
      <c r="J4" s="44">
        <v>150</v>
      </c>
      <c r="K4" s="32"/>
      <c r="N4" s="7"/>
    </row>
    <row r="6" spans="1:14" ht="45" x14ac:dyDescent="0.25">
      <c r="A6" s="23" t="s">
        <v>0</v>
      </c>
      <c r="B6" s="23" t="s">
        <v>1</v>
      </c>
      <c r="C6" s="24" t="s">
        <v>96</v>
      </c>
      <c r="D6" s="25" t="s">
        <v>93</v>
      </c>
      <c r="E6" s="25" t="s">
        <v>110</v>
      </c>
      <c r="F6" s="23" t="s">
        <v>100</v>
      </c>
      <c r="G6" s="23" t="s">
        <v>97</v>
      </c>
      <c r="H6" s="23" t="s">
        <v>112</v>
      </c>
      <c r="I6" s="23" t="s">
        <v>87</v>
      </c>
      <c r="J6" s="23" t="s">
        <v>114</v>
      </c>
      <c r="K6" s="23" t="s">
        <v>101</v>
      </c>
    </row>
    <row r="7" spans="1:14" x14ac:dyDescent="0.25">
      <c r="A7" t="s">
        <v>42</v>
      </c>
      <c r="B7" t="s">
        <v>43</v>
      </c>
      <c r="C7" s="32">
        <v>631</v>
      </c>
      <c r="D7" s="15">
        <v>685.84400988948846</v>
      </c>
      <c r="E7" s="30"/>
      <c r="F7" s="18" t="s">
        <v>98</v>
      </c>
      <c r="G7">
        <v>1</v>
      </c>
      <c r="H7" s="30"/>
      <c r="I7" s="5"/>
      <c r="J7" s="16"/>
      <c r="K7" s="5"/>
      <c r="L7" s="4"/>
      <c r="M7" s="8"/>
      <c r="N7" s="6"/>
    </row>
    <row r="8" spans="1:14" x14ac:dyDescent="0.25">
      <c r="A8" t="s">
        <v>79</v>
      </c>
      <c r="B8" t="s">
        <v>47</v>
      </c>
      <c r="C8" s="32">
        <v>924</v>
      </c>
      <c r="D8" s="15">
        <v>1004.2715859096081</v>
      </c>
      <c r="E8" s="30"/>
      <c r="F8" s="18" t="s">
        <v>99</v>
      </c>
      <c r="G8">
        <v>6</v>
      </c>
      <c r="H8" s="30"/>
      <c r="I8" s="5"/>
      <c r="J8" s="16"/>
      <c r="K8" s="5"/>
      <c r="M8" s="9"/>
    </row>
    <row r="9" spans="1:14" x14ac:dyDescent="0.25">
      <c r="A9" t="s">
        <v>40</v>
      </c>
      <c r="B9" t="s">
        <v>41</v>
      </c>
      <c r="C9" s="32">
        <v>2017</v>
      </c>
      <c r="D9" s="15">
        <v>2192.2513887539008</v>
      </c>
      <c r="E9" s="30"/>
      <c r="F9" s="18" t="s">
        <v>98</v>
      </c>
      <c r="G9">
        <v>2</v>
      </c>
      <c r="H9" s="30"/>
      <c r="I9" s="5"/>
      <c r="J9" s="16"/>
      <c r="K9" s="5"/>
    </row>
    <row r="10" spans="1:14" x14ac:dyDescent="0.25">
      <c r="A10" t="s">
        <v>81</v>
      </c>
      <c r="B10" t="s">
        <v>23</v>
      </c>
      <c r="C10" s="32">
        <v>654</v>
      </c>
      <c r="D10" s="15">
        <v>710.33843881411303</v>
      </c>
      <c r="E10" s="30"/>
      <c r="F10" s="18" t="s">
        <v>99</v>
      </c>
      <c r="G10">
        <v>5</v>
      </c>
      <c r="H10" s="30"/>
      <c r="I10" s="5"/>
      <c r="J10" s="16"/>
      <c r="K10" s="5"/>
    </row>
    <row r="11" spans="1:14" x14ac:dyDescent="0.25">
      <c r="A11" t="s">
        <v>22</v>
      </c>
      <c r="B11" t="s">
        <v>23</v>
      </c>
      <c r="C11" s="32">
        <v>1398</v>
      </c>
      <c r="D11" s="15">
        <v>1518.6545933267246</v>
      </c>
      <c r="E11" s="30"/>
      <c r="F11" s="18" t="s">
        <v>98</v>
      </c>
      <c r="G11">
        <v>3</v>
      </c>
      <c r="H11" s="30"/>
      <c r="I11" s="5"/>
      <c r="J11" s="16"/>
      <c r="K11" s="5"/>
    </row>
    <row r="12" spans="1:14" x14ac:dyDescent="0.25">
      <c r="A12" t="s">
        <v>64</v>
      </c>
      <c r="B12" t="s">
        <v>65</v>
      </c>
      <c r="C12" s="32">
        <v>1014</v>
      </c>
      <c r="D12" s="15">
        <v>1102.2493016081064</v>
      </c>
      <c r="E12" s="30"/>
      <c r="F12" s="18" t="s">
        <v>98</v>
      </c>
      <c r="G12">
        <v>5</v>
      </c>
      <c r="H12" s="30"/>
      <c r="I12" s="5"/>
      <c r="J12" s="16"/>
      <c r="K12" s="5"/>
    </row>
    <row r="13" spans="1:14" x14ac:dyDescent="0.25">
      <c r="A13" t="s">
        <v>8</v>
      </c>
      <c r="B13" t="s">
        <v>9</v>
      </c>
      <c r="C13" s="32">
        <v>969</v>
      </c>
      <c r="D13" s="15">
        <v>1053.2604437588573</v>
      </c>
      <c r="E13" s="30"/>
      <c r="F13" s="18" t="s">
        <v>98</v>
      </c>
      <c r="G13">
        <v>6</v>
      </c>
      <c r="H13" s="30"/>
      <c r="I13" s="5"/>
      <c r="J13" s="16"/>
      <c r="K13" s="5"/>
    </row>
    <row r="14" spans="1:14" x14ac:dyDescent="0.25">
      <c r="A14" t="s">
        <v>16</v>
      </c>
      <c r="B14" t="s">
        <v>17</v>
      </c>
      <c r="C14" s="32">
        <v>924</v>
      </c>
      <c r="D14" s="15">
        <v>1004.2715859096081</v>
      </c>
      <c r="E14" s="30"/>
      <c r="F14" s="18" t="s">
        <v>99</v>
      </c>
      <c r="G14">
        <v>1</v>
      </c>
      <c r="H14" s="30"/>
      <c r="I14" s="5"/>
      <c r="J14" s="16"/>
      <c r="K14" s="5"/>
    </row>
    <row r="15" spans="1:14" x14ac:dyDescent="0.25">
      <c r="A15" t="s">
        <v>81</v>
      </c>
      <c r="B15" t="s">
        <v>23</v>
      </c>
      <c r="C15" s="32">
        <v>5252</v>
      </c>
      <c r="D15" s="15">
        <v>5707.2019394375293</v>
      </c>
      <c r="E15" s="30"/>
      <c r="F15" s="18" t="s">
        <v>98</v>
      </c>
      <c r="G15">
        <v>2</v>
      </c>
      <c r="H15" s="30"/>
      <c r="I15" s="5"/>
      <c r="J15" s="16"/>
      <c r="K15" s="5"/>
    </row>
    <row r="16" spans="1:14" x14ac:dyDescent="0.25">
      <c r="A16" t="s">
        <v>4</v>
      </c>
      <c r="B16" t="s">
        <v>5</v>
      </c>
      <c r="C16" s="32">
        <v>1014</v>
      </c>
      <c r="D16" s="15">
        <v>1102.2493016081064</v>
      </c>
      <c r="E16" s="30"/>
      <c r="F16" s="18" t="s">
        <v>98</v>
      </c>
      <c r="G16">
        <v>2</v>
      </c>
      <c r="H16" s="30"/>
      <c r="I16" s="5"/>
      <c r="J16" s="16"/>
      <c r="K16" s="5"/>
    </row>
    <row r="17" spans="1:11" x14ac:dyDescent="0.25">
      <c r="A17" t="s">
        <v>12</v>
      </c>
      <c r="B17" t="s">
        <v>30</v>
      </c>
      <c r="C17" s="32">
        <v>969</v>
      </c>
      <c r="D17" s="15">
        <v>1053.2604437588573</v>
      </c>
      <c r="E17" s="30"/>
      <c r="F17" s="18" t="s">
        <v>98</v>
      </c>
      <c r="G17">
        <v>4</v>
      </c>
      <c r="H17" s="30"/>
      <c r="I17" s="5"/>
      <c r="J17" s="16"/>
      <c r="K17" s="5"/>
    </row>
    <row r="18" spans="1:11" x14ac:dyDescent="0.25">
      <c r="A18" t="s">
        <v>12</v>
      </c>
      <c r="B18" t="s">
        <v>24</v>
      </c>
      <c r="C18" s="32">
        <v>924</v>
      </c>
      <c r="D18" s="15">
        <v>1004.2715859096081</v>
      </c>
      <c r="E18" s="30"/>
      <c r="F18" s="18" t="s">
        <v>98</v>
      </c>
      <c r="G18">
        <v>1</v>
      </c>
      <c r="H18" s="30"/>
      <c r="I18" s="5"/>
      <c r="J18" s="16"/>
      <c r="K18" s="5"/>
    </row>
    <row r="19" spans="1:11" x14ac:dyDescent="0.25">
      <c r="A19" t="s">
        <v>35</v>
      </c>
      <c r="B19" t="s">
        <v>36</v>
      </c>
      <c r="C19" s="32">
        <v>969</v>
      </c>
      <c r="D19" s="15">
        <v>1053.2604437588573</v>
      </c>
      <c r="E19" s="30"/>
      <c r="F19" s="18" t="s">
        <v>98</v>
      </c>
      <c r="G19">
        <v>4</v>
      </c>
      <c r="H19" s="30"/>
      <c r="I19" s="5"/>
      <c r="J19" s="16"/>
      <c r="K19" s="5"/>
    </row>
    <row r="20" spans="1:11" x14ac:dyDescent="0.25">
      <c r="A20" t="s">
        <v>69</v>
      </c>
      <c r="B20" t="s">
        <v>70</v>
      </c>
      <c r="C20" s="32">
        <v>3043</v>
      </c>
      <c r="D20" s="15">
        <v>3306.7479048243194</v>
      </c>
      <c r="E20" s="30"/>
      <c r="F20" s="18" t="s">
        <v>98</v>
      </c>
      <c r="G20">
        <v>2</v>
      </c>
      <c r="H20" s="30"/>
      <c r="I20" s="5"/>
      <c r="J20" s="16"/>
      <c r="K20" s="5"/>
    </row>
    <row r="21" spans="1:11" x14ac:dyDescent="0.25">
      <c r="A21" t="s">
        <v>16</v>
      </c>
      <c r="B21" t="s">
        <v>17</v>
      </c>
      <c r="C21" s="32">
        <v>631</v>
      </c>
      <c r="D21" s="15">
        <v>685.84400988948846</v>
      </c>
      <c r="E21" s="30"/>
      <c r="F21" s="18" t="s">
        <v>99</v>
      </c>
      <c r="G21">
        <v>1</v>
      </c>
      <c r="H21" s="30"/>
      <c r="I21" s="5"/>
      <c r="J21" s="16"/>
      <c r="K21" s="5"/>
    </row>
    <row r="22" spans="1:11" x14ac:dyDescent="0.25">
      <c r="A22" t="s">
        <v>82</v>
      </c>
      <c r="B22" t="s">
        <v>83</v>
      </c>
      <c r="C22" s="32">
        <v>1014</v>
      </c>
      <c r="D22" s="15">
        <v>1102.2493016081064</v>
      </c>
      <c r="E22" s="30"/>
      <c r="F22" s="18" t="s">
        <v>99</v>
      </c>
      <c r="G22">
        <v>3</v>
      </c>
      <c r="H22" s="30"/>
      <c r="I22" s="5"/>
      <c r="J22" s="16"/>
      <c r="K22" s="5"/>
    </row>
    <row r="23" spans="1:11" x14ac:dyDescent="0.25">
      <c r="A23" t="s">
        <v>8</v>
      </c>
      <c r="B23" t="s">
        <v>9</v>
      </c>
      <c r="C23" s="32">
        <v>857</v>
      </c>
      <c r="D23" s="15">
        <v>930.78829913573441</v>
      </c>
      <c r="E23" s="30"/>
      <c r="F23" s="18" t="s">
        <v>98</v>
      </c>
      <c r="G23">
        <v>5</v>
      </c>
      <c r="H23" s="30"/>
      <c r="I23" s="5"/>
      <c r="J23" s="16"/>
      <c r="K23" s="5"/>
    </row>
    <row r="24" spans="1:11" x14ac:dyDescent="0.25">
      <c r="A24" t="s">
        <v>35</v>
      </c>
      <c r="B24" t="s">
        <v>36</v>
      </c>
      <c r="C24" s="32">
        <v>766</v>
      </c>
      <c r="D24" s="15">
        <v>832.81058343723601</v>
      </c>
      <c r="E24" s="30"/>
      <c r="F24" s="18" t="s">
        <v>99</v>
      </c>
      <c r="G24">
        <v>5</v>
      </c>
      <c r="H24" s="30"/>
      <c r="I24" s="5"/>
      <c r="J24" s="16"/>
      <c r="K24" s="5"/>
    </row>
    <row r="25" spans="1:11" x14ac:dyDescent="0.25">
      <c r="A25" t="s">
        <v>20</v>
      </c>
      <c r="B25" t="s">
        <v>21</v>
      </c>
      <c r="C25" s="32">
        <v>654</v>
      </c>
      <c r="D25" s="15">
        <v>710.33843881411303</v>
      </c>
      <c r="E25" s="30"/>
      <c r="F25" s="18" t="s">
        <v>98</v>
      </c>
      <c r="G25">
        <v>5</v>
      </c>
      <c r="H25" s="30"/>
      <c r="I25" s="5"/>
      <c r="J25" s="16"/>
      <c r="K25" s="5"/>
    </row>
    <row r="26" spans="1:11" x14ac:dyDescent="0.25">
      <c r="A26" t="s">
        <v>67</v>
      </c>
      <c r="B26" t="s">
        <v>68</v>
      </c>
      <c r="C26" s="32">
        <v>924</v>
      </c>
      <c r="D26" s="15">
        <v>1004.2715859096081</v>
      </c>
      <c r="E26" s="30"/>
      <c r="F26" s="18" t="s">
        <v>99</v>
      </c>
      <c r="G26">
        <v>2</v>
      </c>
      <c r="H26" s="30"/>
      <c r="I26" s="5"/>
      <c r="J26" s="16"/>
      <c r="K26" s="5"/>
    </row>
    <row r="27" spans="1:11" x14ac:dyDescent="0.25">
      <c r="A27" t="s">
        <v>42</v>
      </c>
      <c r="B27" t="s">
        <v>43</v>
      </c>
      <c r="C27" s="32">
        <v>631</v>
      </c>
      <c r="D27" s="15">
        <v>685.84400988948846</v>
      </c>
      <c r="E27" s="30"/>
      <c r="F27" s="18" t="s">
        <v>98</v>
      </c>
      <c r="G27">
        <v>5</v>
      </c>
      <c r="H27" s="30"/>
      <c r="I27" s="5"/>
      <c r="J27" s="16"/>
      <c r="K27" s="5"/>
    </row>
    <row r="28" spans="1:11" x14ac:dyDescent="0.25">
      <c r="A28" t="s">
        <v>18</v>
      </c>
      <c r="B28" t="s">
        <v>19</v>
      </c>
      <c r="C28" s="32">
        <v>924</v>
      </c>
      <c r="D28" s="15">
        <v>1004.2715859096081</v>
      </c>
      <c r="E28" s="30"/>
      <c r="F28" s="18" t="s">
        <v>98</v>
      </c>
      <c r="G28">
        <v>1</v>
      </c>
      <c r="H28" s="30"/>
      <c r="I28" s="5"/>
      <c r="J28" s="16"/>
      <c r="K28" s="5"/>
    </row>
    <row r="29" spans="1:11" x14ac:dyDescent="0.25">
      <c r="A29" t="s">
        <v>10</v>
      </c>
      <c r="B29" t="s">
        <v>11</v>
      </c>
      <c r="C29" s="32">
        <v>654</v>
      </c>
      <c r="D29" s="15">
        <v>710.33843881411303</v>
      </c>
      <c r="E29" s="30"/>
      <c r="F29" s="18" t="s">
        <v>99</v>
      </c>
      <c r="G29">
        <v>1</v>
      </c>
      <c r="H29" s="30"/>
      <c r="I29" s="5"/>
      <c r="J29" s="16"/>
      <c r="K29" s="5"/>
    </row>
    <row r="30" spans="1:11" x14ac:dyDescent="0.25">
      <c r="A30" t="s">
        <v>60</v>
      </c>
      <c r="B30" t="s">
        <v>61</v>
      </c>
      <c r="C30" s="32">
        <v>631</v>
      </c>
      <c r="D30" s="15">
        <v>685.84400988948846</v>
      </c>
      <c r="E30" s="30"/>
      <c r="F30" s="18" t="s">
        <v>99</v>
      </c>
      <c r="G30">
        <v>2</v>
      </c>
      <c r="H30" s="30"/>
      <c r="I30" s="5"/>
      <c r="J30" s="16"/>
      <c r="K30" s="5"/>
    </row>
    <row r="31" spans="1:11" x14ac:dyDescent="0.25">
      <c r="A31" t="s">
        <v>12</v>
      </c>
      <c r="B31" t="s">
        <v>86</v>
      </c>
      <c r="C31" s="32">
        <v>654</v>
      </c>
      <c r="D31" s="15">
        <v>710.33843881411303</v>
      </c>
      <c r="E31" s="30"/>
      <c r="F31" s="18" t="s">
        <v>98</v>
      </c>
      <c r="G31">
        <v>3</v>
      </c>
      <c r="H31" s="30"/>
      <c r="I31" s="5"/>
      <c r="J31" s="16"/>
      <c r="K31" s="5"/>
    </row>
    <row r="32" spans="1:11" x14ac:dyDescent="0.25">
      <c r="A32" t="s">
        <v>56</v>
      </c>
      <c r="B32" t="s">
        <v>57</v>
      </c>
      <c r="C32" s="32">
        <v>1736</v>
      </c>
      <c r="D32" s="15">
        <v>1886.0710271960934</v>
      </c>
      <c r="E32" s="30"/>
      <c r="F32" s="18" t="s">
        <v>98</v>
      </c>
      <c r="G32">
        <v>4</v>
      </c>
      <c r="H32" s="30"/>
      <c r="I32" s="5"/>
      <c r="J32" s="16"/>
      <c r="K32" s="5"/>
    </row>
    <row r="33" spans="1:11" x14ac:dyDescent="0.25">
      <c r="A33" t="s">
        <v>44</v>
      </c>
      <c r="B33" t="s">
        <v>45</v>
      </c>
      <c r="C33" s="32">
        <v>1014</v>
      </c>
      <c r="D33" s="15">
        <v>1102.2493016081064</v>
      </c>
      <c r="E33" s="30"/>
      <c r="F33" s="18" t="s">
        <v>99</v>
      </c>
      <c r="G33">
        <v>6</v>
      </c>
      <c r="H33" s="30"/>
      <c r="I33" s="5"/>
      <c r="J33" s="16"/>
      <c r="K33" s="5"/>
    </row>
    <row r="34" spans="1:11" x14ac:dyDescent="0.25">
      <c r="A34" t="s">
        <v>62</v>
      </c>
      <c r="B34" t="s">
        <v>63</v>
      </c>
      <c r="C34" s="32">
        <v>1037</v>
      </c>
      <c r="D34" s="15">
        <v>1126.743730532731</v>
      </c>
      <c r="E34" s="30"/>
      <c r="F34" s="18" t="s">
        <v>98</v>
      </c>
      <c r="G34">
        <v>4</v>
      </c>
      <c r="H34" s="30"/>
      <c r="I34" s="5"/>
      <c r="J34" s="16"/>
      <c r="K34" s="5"/>
    </row>
    <row r="35" spans="1:11" x14ac:dyDescent="0.25">
      <c r="A35" t="s">
        <v>27</v>
      </c>
      <c r="B35" t="s">
        <v>28</v>
      </c>
      <c r="C35" s="32">
        <v>2006</v>
      </c>
      <c r="D35" s="15">
        <v>2180.0041742915882</v>
      </c>
      <c r="E35" s="30"/>
      <c r="F35" s="18" t="s">
        <v>99</v>
      </c>
      <c r="G35">
        <v>4</v>
      </c>
      <c r="H35" s="30"/>
      <c r="I35" s="5"/>
      <c r="J35" s="16"/>
      <c r="K35" s="5"/>
    </row>
    <row r="36" spans="1:11" x14ac:dyDescent="0.25">
      <c r="A36" t="s">
        <v>73</v>
      </c>
      <c r="B36" t="s">
        <v>74</v>
      </c>
      <c r="C36" s="32">
        <v>654</v>
      </c>
      <c r="D36" s="15">
        <v>710.33843881411303</v>
      </c>
      <c r="E36" s="30"/>
      <c r="F36" s="18" t="s">
        <v>98</v>
      </c>
      <c r="G36">
        <v>5</v>
      </c>
      <c r="H36" s="30"/>
      <c r="I36" s="5"/>
      <c r="J36" s="16"/>
      <c r="K36" s="5"/>
    </row>
    <row r="37" spans="1:11" x14ac:dyDescent="0.25">
      <c r="A37" t="s">
        <v>18</v>
      </c>
      <c r="B37" t="s">
        <v>19</v>
      </c>
      <c r="C37" s="32">
        <v>924</v>
      </c>
      <c r="D37" s="15">
        <v>1004.2715859096081</v>
      </c>
      <c r="E37" s="30"/>
      <c r="F37" s="18" t="s">
        <v>98</v>
      </c>
      <c r="G37">
        <v>6</v>
      </c>
      <c r="H37" s="30"/>
      <c r="I37" s="5"/>
      <c r="J37" s="16"/>
      <c r="K37" s="5"/>
    </row>
    <row r="38" spans="1:11" x14ac:dyDescent="0.25">
      <c r="A38" t="s">
        <v>78</v>
      </c>
      <c r="B38" t="s">
        <v>63</v>
      </c>
      <c r="C38" s="32">
        <v>3291</v>
      </c>
      <c r="D38" s="15">
        <v>3576.1866229951897</v>
      </c>
      <c r="E38" s="30"/>
      <c r="F38" s="18" t="s">
        <v>98</v>
      </c>
      <c r="G38">
        <v>3</v>
      </c>
      <c r="H38" s="30"/>
      <c r="I38" s="5"/>
      <c r="J38" s="16"/>
      <c r="K38" s="5"/>
    </row>
    <row r="39" spans="1:11" x14ac:dyDescent="0.25">
      <c r="A39" t="s">
        <v>29</v>
      </c>
      <c r="B39" t="s">
        <v>30</v>
      </c>
      <c r="C39" s="32">
        <v>857</v>
      </c>
      <c r="D39" s="15">
        <v>930.78829913573441</v>
      </c>
      <c r="E39" s="30"/>
      <c r="F39" s="18" t="s">
        <v>99</v>
      </c>
      <c r="G39">
        <v>1</v>
      </c>
      <c r="H39" s="30"/>
      <c r="I39" s="5"/>
      <c r="J39" s="16"/>
      <c r="K39" s="5"/>
    </row>
    <row r="40" spans="1:11" x14ac:dyDescent="0.25">
      <c r="A40" t="s">
        <v>58</v>
      </c>
      <c r="B40" t="s">
        <v>59</v>
      </c>
      <c r="C40" s="32">
        <v>924</v>
      </c>
      <c r="D40" s="15">
        <v>1004.2715859096081</v>
      </c>
      <c r="E40" s="30"/>
      <c r="F40" s="18" t="s">
        <v>98</v>
      </c>
      <c r="G40">
        <v>3</v>
      </c>
      <c r="H40" s="30"/>
      <c r="I40" s="5"/>
      <c r="J40" s="16"/>
      <c r="K40" s="5"/>
    </row>
    <row r="41" spans="1:11" x14ac:dyDescent="0.25">
      <c r="A41" t="s">
        <v>29</v>
      </c>
      <c r="B41" t="s">
        <v>30</v>
      </c>
      <c r="C41" s="32">
        <v>857</v>
      </c>
      <c r="D41" s="15">
        <v>930.78829913573441</v>
      </c>
      <c r="E41" s="30"/>
      <c r="F41" s="18" t="s">
        <v>98</v>
      </c>
      <c r="G41">
        <v>4</v>
      </c>
      <c r="H41" s="30"/>
      <c r="I41" s="5"/>
      <c r="J41" s="16"/>
      <c r="K41" s="5"/>
    </row>
    <row r="42" spans="1:11" x14ac:dyDescent="0.25">
      <c r="A42" t="s">
        <v>62</v>
      </c>
      <c r="B42" t="s">
        <v>63</v>
      </c>
      <c r="C42" s="32">
        <v>3291</v>
      </c>
      <c r="D42" s="15">
        <v>3576.1866229951897</v>
      </c>
      <c r="E42" s="30"/>
      <c r="F42" s="18" t="s">
        <v>98</v>
      </c>
      <c r="G42">
        <v>1</v>
      </c>
      <c r="H42" s="30"/>
      <c r="I42" s="5"/>
      <c r="J42" s="16"/>
      <c r="K42" s="5"/>
    </row>
    <row r="43" spans="1:11" x14ac:dyDescent="0.25">
      <c r="A43" t="s">
        <v>29</v>
      </c>
      <c r="B43" t="s">
        <v>30</v>
      </c>
      <c r="C43" s="32">
        <v>924</v>
      </c>
      <c r="D43" s="15">
        <v>1004.2715859096081</v>
      </c>
      <c r="E43" s="30"/>
      <c r="F43" s="18" t="s">
        <v>99</v>
      </c>
      <c r="G43">
        <v>3</v>
      </c>
      <c r="H43" s="30"/>
      <c r="I43" s="5"/>
      <c r="J43" s="16"/>
      <c r="K43" s="5"/>
    </row>
    <row r="44" spans="1:11" x14ac:dyDescent="0.25">
      <c r="A44" t="s">
        <v>12</v>
      </c>
      <c r="B44" t="s">
        <v>24</v>
      </c>
      <c r="C44" s="32">
        <v>2705</v>
      </c>
      <c r="D44" s="15">
        <v>2939.3314709549504</v>
      </c>
      <c r="E44" s="30"/>
      <c r="F44" s="18" t="s">
        <v>98</v>
      </c>
      <c r="G44">
        <v>6</v>
      </c>
      <c r="H44" s="30"/>
      <c r="I44" s="5"/>
      <c r="J44" s="16"/>
      <c r="K44" s="5"/>
    </row>
    <row r="45" spans="1:11" x14ac:dyDescent="0.25">
      <c r="A45" t="s">
        <v>8</v>
      </c>
      <c r="B45" t="s">
        <v>9</v>
      </c>
      <c r="C45" s="32">
        <v>654</v>
      </c>
      <c r="D45" s="15">
        <v>710.33843881411303</v>
      </c>
      <c r="E45" s="30"/>
      <c r="F45" s="18" t="s">
        <v>99</v>
      </c>
      <c r="G45">
        <v>3</v>
      </c>
      <c r="H45" s="30"/>
      <c r="I45" s="5"/>
      <c r="J45" s="16"/>
      <c r="K45" s="5"/>
    </row>
    <row r="46" spans="1:11" x14ac:dyDescent="0.25">
      <c r="A46" t="s">
        <v>27</v>
      </c>
      <c r="B46" t="s">
        <v>28</v>
      </c>
      <c r="C46" s="32">
        <v>924</v>
      </c>
      <c r="D46" s="15">
        <v>1004.2715859096081</v>
      </c>
      <c r="E46" s="30"/>
      <c r="F46" s="18" t="s">
        <v>99</v>
      </c>
      <c r="G46">
        <v>3</v>
      </c>
      <c r="H46" s="30"/>
      <c r="I46" s="5"/>
      <c r="J46" s="16"/>
      <c r="K46" s="5"/>
    </row>
    <row r="47" spans="1:11" x14ac:dyDescent="0.25">
      <c r="A47" t="s">
        <v>52</v>
      </c>
      <c r="B47" t="s">
        <v>53</v>
      </c>
      <c r="C47" s="32">
        <v>654</v>
      </c>
      <c r="D47" s="15">
        <v>710.33843881411303</v>
      </c>
      <c r="E47" s="30"/>
      <c r="F47" s="18" t="s">
        <v>99</v>
      </c>
      <c r="G47">
        <v>6</v>
      </c>
      <c r="H47" s="30"/>
      <c r="I47" s="5"/>
      <c r="J47" s="16"/>
      <c r="K47" s="5"/>
    </row>
    <row r="48" spans="1:11" x14ac:dyDescent="0.25">
      <c r="A48" t="s">
        <v>18</v>
      </c>
      <c r="B48" t="s">
        <v>19</v>
      </c>
      <c r="C48" s="32">
        <v>654</v>
      </c>
      <c r="D48" s="15">
        <v>710.33843881411303</v>
      </c>
      <c r="E48" s="30"/>
      <c r="F48" s="18" t="s">
        <v>99</v>
      </c>
      <c r="G48">
        <v>6</v>
      </c>
      <c r="H48" s="30"/>
      <c r="I48" s="5"/>
      <c r="J48" s="16"/>
      <c r="K48" s="5"/>
    </row>
    <row r="49" spans="1:11" x14ac:dyDescent="0.25">
      <c r="A49" t="s">
        <v>29</v>
      </c>
      <c r="B49" t="s">
        <v>30</v>
      </c>
      <c r="C49" s="32">
        <v>766</v>
      </c>
      <c r="D49" s="15">
        <v>832.81058343723601</v>
      </c>
      <c r="E49" s="30"/>
      <c r="F49" s="18" t="s">
        <v>99</v>
      </c>
      <c r="G49">
        <v>3</v>
      </c>
      <c r="H49" s="30"/>
      <c r="I49" s="5"/>
      <c r="J49" s="16"/>
      <c r="K49" s="5"/>
    </row>
    <row r="50" spans="1:11" x14ac:dyDescent="0.25">
      <c r="A50" t="s">
        <v>2</v>
      </c>
      <c r="B50" t="s">
        <v>3</v>
      </c>
      <c r="C50" s="32">
        <v>1037</v>
      </c>
      <c r="D50" s="15">
        <v>1126.743730532731</v>
      </c>
      <c r="E50" s="30"/>
      <c r="F50" s="18" t="s">
        <v>99</v>
      </c>
      <c r="G50">
        <v>3</v>
      </c>
      <c r="H50" s="30"/>
      <c r="I50" s="5"/>
      <c r="J50" s="16"/>
      <c r="K50" s="5"/>
    </row>
    <row r="51" spans="1:11" x14ac:dyDescent="0.25">
      <c r="A51" t="s">
        <v>52</v>
      </c>
      <c r="B51" t="s">
        <v>53</v>
      </c>
      <c r="C51" s="32">
        <v>947</v>
      </c>
      <c r="D51" s="15">
        <v>1028.7660148342327</v>
      </c>
      <c r="E51" s="30"/>
      <c r="F51" s="18" t="s">
        <v>99</v>
      </c>
      <c r="G51">
        <v>1</v>
      </c>
      <c r="H51" s="30"/>
      <c r="I51" s="5"/>
      <c r="J51" s="16"/>
      <c r="K51" s="5"/>
    </row>
    <row r="52" spans="1:11" x14ac:dyDescent="0.25">
      <c r="A52" t="s">
        <v>84</v>
      </c>
      <c r="B52" t="s">
        <v>85</v>
      </c>
      <c r="C52" s="32">
        <v>1037</v>
      </c>
      <c r="D52" s="15">
        <v>1126.743730532731</v>
      </c>
      <c r="E52" s="30"/>
      <c r="F52" s="18" t="s">
        <v>98</v>
      </c>
      <c r="G52">
        <v>2</v>
      </c>
      <c r="H52" s="30"/>
      <c r="I52" s="5"/>
      <c r="J52" s="16"/>
      <c r="K52" s="5"/>
    </row>
    <row r="53" spans="1:11" x14ac:dyDescent="0.25">
      <c r="A53" t="s">
        <v>12</v>
      </c>
      <c r="B53" t="s">
        <v>24</v>
      </c>
      <c r="C53" s="32">
        <v>2750</v>
      </c>
      <c r="D53" s="15">
        <v>2988.3203288042</v>
      </c>
      <c r="E53" s="30"/>
      <c r="F53" s="18" t="s">
        <v>99</v>
      </c>
      <c r="G53">
        <v>2</v>
      </c>
      <c r="H53" s="30"/>
      <c r="I53" s="5"/>
      <c r="J53" s="16"/>
      <c r="K53" s="5"/>
    </row>
    <row r="54" spans="1:11" x14ac:dyDescent="0.25">
      <c r="A54" t="s">
        <v>58</v>
      </c>
      <c r="B54" t="s">
        <v>59</v>
      </c>
      <c r="C54" s="32">
        <v>654</v>
      </c>
      <c r="D54" s="15">
        <v>710.33843881411303</v>
      </c>
      <c r="E54" s="30"/>
      <c r="F54" s="18" t="s">
        <v>99</v>
      </c>
      <c r="G54">
        <v>3</v>
      </c>
      <c r="H54" s="30"/>
      <c r="I54" s="5"/>
      <c r="J54" s="16"/>
      <c r="K54" s="5"/>
    </row>
    <row r="55" spans="1:11" x14ac:dyDescent="0.25">
      <c r="A55" t="s">
        <v>12</v>
      </c>
      <c r="B55" t="s">
        <v>30</v>
      </c>
      <c r="C55" s="32">
        <v>924</v>
      </c>
      <c r="D55" s="15">
        <v>1004.2715859096081</v>
      </c>
      <c r="E55" s="30"/>
      <c r="F55" s="18" t="s">
        <v>99</v>
      </c>
      <c r="G55">
        <v>4</v>
      </c>
      <c r="H55" s="30"/>
      <c r="I55" s="5"/>
      <c r="J55" s="16"/>
      <c r="K55" s="5"/>
    </row>
    <row r="56" spans="1:11" x14ac:dyDescent="0.25">
      <c r="A56" t="s">
        <v>80</v>
      </c>
      <c r="B56" t="s">
        <v>57</v>
      </c>
      <c r="C56" s="32">
        <v>3043</v>
      </c>
      <c r="D56" s="15">
        <v>3306.7479048243194</v>
      </c>
      <c r="E56" s="30"/>
      <c r="F56" s="18" t="s">
        <v>99</v>
      </c>
      <c r="G56">
        <v>3</v>
      </c>
      <c r="H56" s="30"/>
      <c r="I56" s="5"/>
      <c r="J56" s="16"/>
      <c r="K56" s="5"/>
    </row>
    <row r="57" spans="1:11" x14ac:dyDescent="0.25">
      <c r="A57" t="s">
        <v>76</v>
      </c>
      <c r="B57" t="s">
        <v>77</v>
      </c>
      <c r="C57" s="32">
        <v>969</v>
      </c>
      <c r="D57" s="15">
        <v>1053.2604437588573</v>
      </c>
      <c r="E57" s="30"/>
      <c r="F57" s="18" t="s">
        <v>98</v>
      </c>
      <c r="G57">
        <v>6</v>
      </c>
      <c r="H57" s="30"/>
      <c r="I57" s="5"/>
      <c r="J57" s="16"/>
      <c r="K57" s="5"/>
    </row>
    <row r="58" spans="1:11" x14ac:dyDescent="0.25">
      <c r="A58" t="s">
        <v>76</v>
      </c>
      <c r="B58" t="s">
        <v>77</v>
      </c>
      <c r="C58" s="32">
        <v>857</v>
      </c>
      <c r="D58" s="15">
        <v>930.78829913573441</v>
      </c>
      <c r="E58" s="30"/>
      <c r="F58" s="18" t="s">
        <v>99</v>
      </c>
      <c r="G58">
        <v>1</v>
      </c>
      <c r="H58" s="30"/>
      <c r="I58" s="5"/>
      <c r="J58" s="16"/>
      <c r="K58" s="5"/>
    </row>
    <row r="59" spans="1:11" x14ac:dyDescent="0.25">
      <c r="A59" t="s">
        <v>8</v>
      </c>
      <c r="B59" t="s">
        <v>9</v>
      </c>
      <c r="C59" s="32">
        <v>969</v>
      </c>
      <c r="D59" s="15">
        <v>1053.2604437588573</v>
      </c>
      <c r="E59" s="30"/>
      <c r="F59" s="18" t="s">
        <v>99</v>
      </c>
      <c r="G59">
        <v>1</v>
      </c>
      <c r="H59" s="30"/>
      <c r="I59" s="5"/>
      <c r="J59" s="16"/>
      <c r="K59" s="5"/>
    </row>
    <row r="60" spans="1:11" x14ac:dyDescent="0.25">
      <c r="A60" t="s">
        <v>4</v>
      </c>
      <c r="B60" t="s">
        <v>5</v>
      </c>
      <c r="C60" s="32">
        <v>857</v>
      </c>
      <c r="D60" s="15">
        <v>930.78829913573441</v>
      </c>
      <c r="E60" s="30"/>
      <c r="F60" s="18" t="s">
        <v>99</v>
      </c>
      <c r="G60">
        <v>6</v>
      </c>
      <c r="H60" s="30"/>
      <c r="I60" s="5"/>
      <c r="J60" s="16"/>
      <c r="K60" s="5"/>
    </row>
    <row r="61" spans="1:11" x14ac:dyDescent="0.25">
      <c r="A61" t="s">
        <v>79</v>
      </c>
      <c r="B61" t="s">
        <v>47</v>
      </c>
      <c r="C61" s="32">
        <v>1037</v>
      </c>
      <c r="D61" s="15">
        <v>1126.743730532731</v>
      </c>
      <c r="E61" s="30"/>
      <c r="F61" s="18" t="s">
        <v>98</v>
      </c>
      <c r="G61">
        <v>3</v>
      </c>
      <c r="H61" s="30"/>
      <c r="I61" s="5"/>
      <c r="J61" s="16"/>
      <c r="K61" s="5"/>
    </row>
    <row r="62" spans="1:11" x14ac:dyDescent="0.25">
      <c r="A62" t="s">
        <v>22</v>
      </c>
      <c r="B62" t="s">
        <v>23</v>
      </c>
      <c r="C62" s="32">
        <v>1127</v>
      </c>
      <c r="D62" s="15">
        <v>1224.7214462312295</v>
      </c>
      <c r="E62" s="30"/>
      <c r="F62" s="18" t="s">
        <v>99</v>
      </c>
      <c r="G62">
        <v>3</v>
      </c>
      <c r="H62" s="30"/>
      <c r="I62" s="5"/>
      <c r="J62" s="16"/>
      <c r="K62" s="5"/>
    </row>
    <row r="63" spans="1:11" x14ac:dyDescent="0.25">
      <c r="A63" t="s">
        <v>62</v>
      </c>
      <c r="B63" t="s">
        <v>63</v>
      </c>
      <c r="C63" s="32">
        <v>654</v>
      </c>
      <c r="D63" s="15">
        <v>710.33843881411303</v>
      </c>
      <c r="E63" s="30"/>
      <c r="F63" s="18" t="s">
        <v>99</v>
      </c>
      <c r="G63">
        <v>4</v>
      </c>
      <c r="H63" s="30"/>
      <c r="I63" s="5"/>
      <c r="J63" s="16"/>
      <c r="K63" s="5"/>
    </row>
    <row r="64" spans="1:11" x14ac:dyDescent="0.25">
      <c r="A64" t="s">
        <v>80</v>
      </c>
      <c r="B64" t="s">
        <v>57</v>
      </c>
      <c r="C64" s="32">
        <v>924</v>
      </c>
      <c r="D64" s="15">
        <v>1004.2715859096081</v>
      </c>
      <c r="E64" s="30"/>
      <c r="F64" s="18" t="s">
        <v>98</v>
      </c>
      <c r="G64">
        <v>5</v>
      </c>
      <c r="H64" s="30"/>
      <c r="I64" s="5"/>
      <c r="J64" s="16"/>
      <c r="K64" s="5"/>
    </row>
    <row r="65" spans="1:11" x14ac:dyDescent="0.25">
      <c r="A65" t="s">
        <v>33</v>
      </c>
      <c r="B65" t="s">
        <v>34</v>
      </c>
      <c r="C65" s="32">
        <v>969</v>
      </c>
      <c r="D65" s="15">
        <v>1053.2604437588573</v>
      </c>
      <c r="E65" s="30"/>
      <c r="F65" s="18" t="s">
        <v>98</v>
      </c>
      <c r="G65">
        <v>2</v>
      </c>
      <c r="H65" s="30"/>
      <c r="I65" s="5"/>
      <c r="J65" s="16"/>
      <c r="K65" s="5"/>
    </row>
    <row r="66" spans="1:11" x14ac:dyDescent="0.25">
      <c r="A66" t="s">
        <v>78</v>
      </c>
      <c r="B66" t="s">
        <v>63</v>
      </c>
      <c r="C66" s="32">
        <v>654</v>
      </c>
      <c r="D66" s="15">
        <v>710.33843881411303</v>
      </c>
      <c r="E66" s="30"/>
      <c r="F66" s="18" t="s">
        <v>98</v>
      </c>
      <c r="G66">
        <v>1</v>
      </c>
      <c r="H66" s="30"/>
      <c r="I66" s="5"/>
      <c r="J66" s="16"/>
      <c r="K66" s="5"/>
    </row>
    <row r="67" spans="1:11" x14ac:dyDescent="0.25">
      <c r="A67" t="s">
        <v>25</v>
      </c>
      <c r="B67" t="s">
        <v>24</v>
      </c>
      <c r="C67" s="32">
        <v>1037</v>
      </c>
      <c r="D67" s="15">
        <v>1126.743730532731</v>
      </c>
      <c r="E67" s="30"/>
      <c r="F67" s="18" t="s">
        <v>98</v>
      </c>
      <c r="G67">
        <v>4</v>
      </c>
      <c r="H67" s="30"/>
      <c r="I67" s="5"/>
      <c r="J67" s="16"/>
      <c r="K67" s="5"/>
    </row>
    <row r="68" spans="1:11" x14ac:dyDescent="0.25">
      <c r="A68" t="s">
        <v>73</v>
      </c>
      <c r="B68" t="s">
        <v>74</v>
      </c>
      <c r="C68" s="32">
        <v>1398</v>
      </c>
      <c r="D68" s="15">
        <v>1518.6545933267246</v>
      </c>
      <c r="E68" s="30"/>
      <c r="F68" s="18" t="s">
        <v>99</v>
      </c>
      <c r="G68">
        <v>2</v>
      </c>
      <c r="H68" s="30"/>
      <c r="I68" s="5"/>
      <c r="J68" s="16"/>
      <c r="K68" s="5"/>
    </row>
    <row r="69" spans="1:11" x14ac:dyDescent="0.25">
      <c r="A69" t="s">
        <v>79</v>
      </c>
      <c r="B69" t="s">
        <v>47</v>
      </c>
      <c r="C69" s="32">
        <v>2006</v>
      </c>
      <c r="D69" s="15">
        <v>2180.0041742915882</v>
      </c>
      <c r="E69" s="30"/>
      <c r="F69" s="18" t="s">
        <v>98</v>
      </c>
      <c r="G69">
        <v>4</v>
      </c>
      <c r="H69" s="30"/>
      <c r="I69" s="5"/>
      <c r="J69" s="16"/>
      <c r="K69" s="5"/>
    </row>
    <row r="70" spans="1:11" x14ac:dyDescent="0.25">
      <c r="A70" t="s">
        <v>33</v>
      </c>
      <c r="B70" t="s">
        <v>34</v>
      </c>
      <c r="C70" s="32">
        <v>857</v>
      </c>
      <c r="D70" s="15">
        <v>930.78829913573441</v>
      </c>
      <c r="E70" s="30"/>
      <c r="F70" s="18" t="s">
        <v>99</v>
      </c>
      <c r="G70">
        <v>3</v>
      </c>
      <c r="H70" s="30"/>
      <c r="I70" s="5"/>
      <c r="J70" s="16"/>
      <c r="K70" s="5"/>
    </row>
    <row r="71" spans="1:11" x14ac:dyDescent="0.25">
      <c r="A71" t="s">
        <v>6</v>
      </c>
      <c r="B71" t="s">
        <v>7</v>
      </c>
      <c r="C71" s="32">
        <v>857</v>
      </c>
      <c r="D71" s="15">
        <v>930.78829913573441</v>
      </c>
      <c r="E71" s="30"/>
      <c r="F71" s="18" t="s">
        <v>99</v>
      </c>
      <c r="G71">
        <v>1</v>
      </c>
      <c r="H71" s="30"/>
      <c r="I71" s="5"/>
      <c r="J71" s="16"/>
      <c r="K71" s="5"/>
    </row>
    <row r="72" spans="1:11" x14ac:dyDescent="0.25">
      <c r="A72" t="s">
        <v>66</v>
      </c>
      <c r="B72" t="s">
        <v>13</v>
      </c>
      <c r="C72" s="32">
        <v>924</v>
      </c>
      <c r="D72" s="15">
        <v>1004.2715859096081</v>
      </c>
      <c r="E72" s="30"/>
      <c r="F72" s="18" t="s">
        <v>98</v>
      </c>
      <c r="G72">
        <v>4</v>
      </c>
      <c r="H72" s="30"/>
      <c r="I72" s="5"/>
      <c r="J72" s="16"/>
      <c r="K72" s="5"/>
    </row>
    <row r="73" spans="1:11" x14ac:dyDescent="0.25">
      <c r="A73" t="s">
        <v>48</v>
      </c>
      <c r="B73" t="s">
        <v>49</v>
      </c>
      <c r="C73" s="32">
        <v>857</v>
      </c>
      <c r="D73" s="15">
        <v>930.78829913573441</v>
      </c>
      <c r="E73" s="30"/>
      <c r="F73" s="18" t="s">
        <v>99</v>
      </c>
      <c r="G73">
        <v>1</v>
      </c>
      <c r="H73" s="30"/>
      <c r="I73" s="5"/>
      <c r="J73" s="16"/>
      <c r="K73" s="5"/>
    </row>
    <row r="74" spans="1:11" x14ac:dyDescent="0.25">
      <c r="A74" t="s">
        <v>10</v>
      </c>
      <c r="B74" t="s">
        <v>11</v>
      </c>
      <c r="C74" s="32">
        <v>2750</v>
      </c>
      <c r="D74" s="15">
        <v>2988.3203288042</v>
      </c>
      <c r="E74" s="30"/>
      <c r="F74" s="18" t="s">
        <v>98</v>
      </c>
      <c r="G74">
        <v>6</v>
      </c>
      <c r="H74" s="30"/>
      <c r="I74" s="5"/>
      <c r="J74" s="16"/>
      <c r="K74" s="5"/>
    </row>
    <row r="75" spans="1:11" x14ac:dyDescent="0.25">
      <c r="A75" t="s">
        <v>67</v>
      </c>
      <c r="B75" t="s">
        <v>68</v>
      </c>
      <c r="C75" s="32">
        <v>654</v>
      </c>
      <c r="D75" s="15">
        <v>710.33843881411303</v>
      </c>
      <c r="E75" s="30"/>
      <c r="F75" s="18" t="s">
        <v>99</v>
      </c>
      <c r="G75">
        <v>2</v>
      </c>
      <c r="H75" s="30"/>
      <c r="I75" s="5"/>
      <c r="J75" s="16"/>
      <c r="K75" s="5"/>
    </row>
    <row r="76" spans="1:11" x14ac:dyDescent="0.25">
      <c r="A76" t="s">
        <v>37</v>
      </c>
      <c r="B76" t="s">
        <v>38</v>
      </c>
      <c r="C76" s="32">
        <v>2930</v>
      </c>
      <c r="D76" s="15">
        <v>3184.2757602011966</v>
      </c>
      <c r="E76" s="30"/>
      <c r="F76" s="18" t="s">
        <v>99</v>
      </c>
      <c r="G76">
        <v>4</v>
      </c>
      <c r="H76" s="30"/>
      <c r="I76" s="5"/>
      <c r="J76" s="16"/>
      <c r="K76" s="5"/>
    </row>
    <row r="77" spans="1:11" x14ac:dyDescent="0.25">
      <c r="A77" t="s">
        <v>44</v>
      </c>
      <c r="B77" t="s">
        <v>45</v>
      </c>
      <c r="C77" s="32">
        <v>1014</v>
      </c>
      <c r="D77" s="15">
        <v>1102.2493016081064</v>
      </c>
      <c r="E77" s="30"/>
      <c r="F77" s="18" t="s">
        <v>99</v>
      </c>
      <c r="G77">
        <v>5</v>
      </c>
      <c r="H77" s="30"/>
      <c r="I77" s="5"/>
      <c r="J77" s="16"/>
      <c r="K77" s="5"/>
    </row>
    <row r="78" spans="1:11" x14ac:dyDescent="0.25">
      <c r="A78" t="s">
        <v>69</v>
      </c>
      <c r="B78" t="s">
        <v>70</v>
      </c>
      <c r="C78" s="32">
        <v>654</v>
      </c>
      <c r="D78" s="15">
        <v>710.33843881411303</v>
      </c>
      <c r="E78" s="30"/>
      <c r="F78" s="18" t="s">
        <v>99</v>
      </c>
      <c r="G78">
        <v>5</v>
      </c>
      <c r="H78" s="30"/>
      <c r="I78" s="5"/>
      <c r="J78" s="16"/>
      <c r="K78" s="5"/>
    </row>
    <row r="79" spans="1:11" x14ac:dyDescent="0.25">
      <c r="A79" t="s">
        <v>81</v>
      </c>
      <c r="B79" t="s">
        <v>23</v>
      </c>
      <c r="C79" s="32">
        <v>2006</v>
      </c>
      <c r="D79" s="15">
        <v>2180.0041742915882</v>
      </c>
      <c r="E79" s="30"/>
      <c r="F79" s="18" t="s">
        <v>99</v>
      </c>
      <c r="G79">
        <v>2</v>
      </c>
      <c r="H79" s="30"/>
      <c r="I79" s="5"/>
      <c r="J79" s="16"/>
      <c r="K79" s="5"/>
    </row>
    <row r="80" spans="1:11" x14ac:dyDescent="0.25">
      <c r="A80" t="s">
        <v>6</v>
      </c>
      <c r="B80" t="s">
        <v>7</v>
      </c>
      <c r="C80" s="32">
        <v>1803</v>
      </c>
      <c r="D80" s="15">
        <v>1959.5543139699671</v>
      </c>
      <c r="E80" s="30"/>
      <c r="F80" s="18" t="s">
        <v>99</v>
      </c>
      <c r="G80">
        <v>5</v>
      </c>
      <c r="H80" s="30"/>
      <c r="I80" s="5"/>
      <c r="J80" s="16"/>
      <c r="K80" s="5"/>
    </row>
    <row r="81" spans="1:11" x14ac:dyDescent="0.25">
      <c r="A81" t="s">
        <v>62</v>
      </c>
      <c r="B81" t="s">
        <v>63</v>
      </c>
      <c r="C81" s="32">
        <v>1037</v>
      </c>
      <c r="D81" s="15">
        <v>1126.743730532731</v>
      </c>
      <c r="E81" s="30"/>
      <c r="F81" s="18" t="s">
        <v>99</v>
      </c>
      <c r="G81">
        <v>6</v>
      </c>
      <c r="H81" s="30"/>
      <c r="I81" s="5"/>
      <c r="J81" s="16"/>
      <c r="K81" s="5"/>
    </row>
    <row r="82" spans="1:11" x14ac:dyDescent="0.25">
      <c r="A82" t="s">
        <v>27</v>
      </c>
      <c r="B82" t="s">
        <v>28</v>
      </c>
      <c r="C82" s="32">
        <v>2006</v>
      </c>
      <c r="D82" s="15">
        <v>2180.0041742915882</v>
      </c>
      <c r="E82" s="30"/>
      <c r="F82" s="18" t="s">
        <v>99</v>
      </c>
      <c r="G82">
        <v>2</v>
      </c>
      <c r="H82" s="30"/>
      <c r="I82" s="5"/>
      <c r="J82" s="16"/>
      <c r="K82" s="5"/>
    </row>
    <row r="83" spans="1:11" x14ac:dyDescent="0.25">
      <c r="A83" t="s">
        <v>18</v>
      </c>
      <c r="B83" t="s">
        <v>19</v>
      </c>
      <c r="C83" s="32">
        <v>6312</v>
      </c>
      <c r="D83" s="15">
        <v>6858.4400988948846</v>
      </c>
      <c r="E83" s="30"/>
      <c r="F83" s="18" t="s">
        <v>99</v>
      </c>
      <c r="G83">
        <v>2</v>
      </c>
      <c r="H83" s="30"/>
      <c r="I83" s="5"/>
      <c r="J83" s="16"/>
      <c r="K83" s="5"/>
    </row>
    <row r="84" spans="1:11" x14ac:dyDescent="0.25">
      <c r="A84" t="s">
        <v>66</v>
      </c>
      <c r="B84" t="s">
        <v>13</v>
      </c>
      <c r="C84" s="32">
        <v>969</v>
      </c>
      <c r="D84" s="15">
        <v>1053.2604437588573</v>
      </c>
      <c r="E84" s="30"/>
      <c r="F84" s="18" t="s">
        <v>99</v>
      </c>
      <c r="G84">
        <v>4</v>
      </c>
      <c r="H84" s="30"/>
      <c r="I84" s="5"/>
      <c r="J84" s="16"/>
      <c r="K84" s="5"/>
    </row>
    <row r="85" spans="1:11" x14ac:dyDescent="0.25">
      <c r="A85" t="s">
        <v>18</v>
      </c>
      <c r="B85" t="s">
        <v>19</v>
      </c>
      <c r="C85" s="32">
        <v>766</v>
      </c>
      <c r="D85" s="15">
        <v>832.81058343723601</v>
      </c>
      <c r="E85" s="30"/>
      <c r="F85" s="18" t="s">
        <v>99</v>
      </c>
      <c r="G85">
        <v>2</v>
      </c>
      <c r="H85" s="30"/>
      <c r="I85" s="5"/>
      <c r="J85" s="16"/>
      <c r="K85" s="5"/>
    </row>
    <row r="86" spans="1:11" x14ac:dyDescent="0.25">
      <c r="A86" t="s">
        <v>4</v>
      </c>
      <c r="B86" t="s">
        <v>5</v>
      </c>
      <c r="C86" s="32">
        <v>1398</v>
      </c>
      <c r="D86" s="15">
        <v>1518.6545933267246</v>
      </c>
      <c r="E86" s="30"/>
      <c r="F86" s="18" t="s">
        <v>99</v>
      </c>
      <c r="G86">
        <v>5</v>
      </c>
      <c r="H86" s="30"/>
      <c r="I86" s="5"/>
      <c r="J86" s="16"/>
      <c r="K86" s="5"/>
    </row>
    <row r="87" spans="1:11" x14ac:dyDescent="0.25">
      <c r="A87" t="s">
        <v>73</v>
      </c>
      <c r="B87" t="s">
        <v>74</v>
      </c>
      <c r="C87" s="32">
        <v>947</v>
      </c>
      <c r="D87" s="15">
        <v>1028.7660148342327</v>
      </c>
      <c r="E87" s="30"/>
      <c r="F87" s="18" t="s">
        <v>99</v>
      </c>
      <c r="G87">
        <v>4</v>
      </c>
      <c r="H87" s="30"/>
      <c r="I87" s="5"/>
      <c r="J87" s="16"/>
      <c r="K87" s="5"/>
    </row>
    <row r="88" spans="1:11" x14ac:dyDescent="0.25">
      <c r="A88" t="s">
        <v>22</v>
      </c>
      <c r="B88" t="s">
        <v>23</v>
      </c>
      <c r="C88" s="32">
        <v>766</v>
      </c>
      <c r="D88" s="15">
        <v>832.81058343723601</v>
      </c>
      <c r="E88" s="30"/>
      <c r="F88" s="18" t="s">
        <v>98</v>
      </c>
      <c r="G88">
        <v>4</v>
      </c>
      <c r="H88" s="30"/>
      <c r="I88" s="5"/>
      <c r="J88" s="16"/>
      <c r="K88" s="5"/>
    </row>
    <row r="89" spans="1:11" x14ac:dyDescent="0.25">
      <c r="A89" t="s">
        <v>48</v>
      </c>
      <c r="B89" t="s">
        <v>49</v>
      </c>
      <c r="C89" s="32">
        <v>3471</v>
      </c>
      <c r="D89" s="15">
        <v>3772.1420543921868</v>
      </c>
      <c r="E89" s="30"/>
      <c r="F89" s="18" t="s">
        <v>98</v>
      </c>
      <c r="G89">
        <v>4</v>
      </c>
      <c r="H89" s="30"/>
      <c r="I89" s="5"/>
      <c r="J89" s="16"/>
      <c r="K89" s="5"/>
    </row>
    <row r="90" spans="1:11" x14ac:dyDescent="0.25">
      <c r="A90" t="s">
        <v>22</v>
      </c>
      <c r="B90" t="s">
        <v>23</v>
      </c>
      <c r="C90" s="32">
        <v>924</v>
      </c>
      <c r="D90" s="15">
        <v>1004.2715859096081</v>
      </c>
      <c r="E90" s="30"/>
      <c r="F90" s="18" t="s">
        <v>98</v>
      </c>
      <c r="G90">
        <v>2</v>
      </c>
      <c r="H90" s="30"/>
      <c r="I90" s="5"/>
      <c r="J90" s="16"/>
      <c r="K90" s="5"/>
    </row>
    <row r="91" spans="1:11" x14ac:dyDescent="0.25">
      <c r="A91" t="s">
        <v>82</v>
      </c>
      <c r="B91" t="s">
        <v>83</v>
      </c>
      <c r="C91" s="32">
        <v>4508</v>
      </c>
      <c r="D91" s="15">
        <v>4898.885784924918</v>
      </c>
      <c r="E91" s="30"/>
      <c r="F91" s="18" t="s">
        <v>98</v>
      </c>
      <c r="G91">
        <v>5</v>
      </c>
      <c r="H91" s="30"/>
      <c r="I91" s="5"/>
      <c r="J91" s="16"/>
      <c r="K91" s="5"/>
    </row>
    <row r="92" spans="1:11" x14ac:dyDescent="0.25">
      <c r="A92" t="s">
        <v>25</v>
      </c>
      <c r="B92" t="s">
        <v>24</v>
      </c>
      <c r="C92" s="32">
        <v>857</v>
      </c>
      <c r="D92" s="15">
        <v>930.78829913573441</v>
      </c>
      <c r="E92" s="30"/>
      <c r="F92" s="18" t="s">
        <v>99</v>
      </c>
      <c r="G92">
        <v>5</v>
      </c>
      <c r="H92" s="30"/>
      <c r="I92" s="5"/>
      <c r="J92" s="16"/>
      <c r="K92" s="5"/>
    </row>
    <row r="93" spans="1:11" x14ac:dyDescent="0.25">
      <c r="A93" t="s">
        <v>67</v>
      </c>
      <c r="B93" t="s">
        <v>68</v>
      </c>
      <c r="C93" s="32">
        <v>3043</v>
      </c>
      <c r="D93" s="15">
        <v>3306.7479048243194</v>
      </c>
      <c r="E93" s="30"/>
      <c r="F93" s="18" t="s">
        <v>99</v>
      </c>
      <c r="G93">
        <v>5</v>
      </c>
      <c r="H93" s="30"/>
      <c r="I93" s="5"/>
      <c r="J93" s="16"/>
      <c r="K93" s="5"/>
    </row>
    <row r="94" spans="1:11" x14ac:dyDescent="0.25">
      <c r="A94" t="s">
        <v>12</v>
      </c>
      <c r="B94" t="s">
        <v>24</v>
      </c>
      <c r="C94" s="32">
        <v>3043</v>
      </c>
      <c r="D94" s="15">
        <v>3306.7479048243194</v>
      </c>
      <c r="E94" s="30"/>
      <c r="F94" s="18" t="s">
        <v>98</v>
      </c>
      <c r="G94">
        <v>5</v>
      </c>
      <c r="H94" s="30"/>
      <c r="I94" s="5"/>
      <c r="J94" s="16"/>
      <c r="K94" s="5"/>
    </row>
    <row r="95" spans="1:11" x14ac:dyDescent="0.25">
      <c r="A95" t="s">
        <v>12</v>
      </c>
      <c r="B95" t="s">
        <v>86</v>
      </c>
      <c r="C95" s="32">
        <v>1014</v>
      </c>
      <c r="D95" s="15">
        <v>1102.2493016081064</v>
      </c>
      <c r="E95" s="30"/>
      <c r="F95" s="18" t="s">
        <v>99</v>
      </c>
      <c r="G95">
        <v>3</v>
      </c>
      <c r="H95" s="30"/>
      <c r="I95" s="5"/>
      <c r="J95" s="16"/>
      <c r="K95" s="5"/>
    </row>
    <row r="96" spans="1:11" x14ac:dyDescent="0.25">
      <c r="A96" t="s">
        <v>58</v>
      </c>
      <c r="B96" t="s">
        <v>59</v>
      </c>
      <c r="C96" s="32">
        <v>1127</v>
      </c>
      <c r="D96" s="15">
        <v>1224.7214462312295</v>
      </c>
      <c r="E96" s="30"/>
      <c r="F96" s="18" t="s">
        <v>99</v>
      </c>
      <c r="G96">
        <v>1</v>
      </c>
      <c r="H96" s="30"/>
      <c r="I96" s="5"/>
      <c r="J96" s="16"/>
      <c r="K96" s="5"/>
    </row>
    <row r="97" spans="1:11" x14ac:dyDescent="0.25">
      <c r="A97" t="s">
        <v>71</v>
      </c>
      <c r="B97" t="s">
        <v>72</v>
      </c>
      <c r="C97" s="32">
        <v>654</v>
      </c>
      <c r="D97" s="15">
        <v>710.33843881411303</v>
      </c>
      <c r="E97" s="30"/>
      <c r="F97" s="18" t="s">
        <v>98</v>
      </c>
      <c r="G97">
        <v>5</v>
      </c>
      <c r="H97" s="30"/>
      <c r="I97" s="5"/>
      <c r="J97" s="16"/>
      <c r="K97" s="5"/>
    </row>
    <row r="98" spans="1:11" x14ac:dyDescent="0.25">
      <c r="A98" t="s">
        <v>35</v>
      </c>
      <c r="B98" t="s">
        <v>36</v>
      </c>
      <c r="C98" s="32">
        <v>654</v>
      </c>
      <c r="D98" s="15">
        <v>710.33843881411303</v>
      </c>
      <c r="E98" s="30"/>
      <c r="F98" s="18" t="s">
        <v>99</v>
      </c>
      <c r="G98">
        <v>6</v>
      </c>
      <c r="H98" s="30"/>
      <c r="I98" s="5"/>
      <c r="J98" s="16"/>
      <c r="K98" s="5"/>
    </row>
    <row r="99" spans="1:11" x14ac:dyDescent="0.25">
      <c r="A99" t="s">
        <v>37</v>
      </c>
      <c r="B99" t="s">
        <v>38</v>
      </c>
      <c r="C99" s="32">
        <v>3607</v>
      </c>
      <c r="D99" s="15">
        <v>3919.1086279399342</v>
      </c>
      <c r="E99" s="30"/>
      <c r="F99" s="18" t="s">
        <v>99</v>
      </c>
      <c r="G99">
        <v>4</v>
      </c>
      <c r="H99" s="30"/>
      <c r="I99" s="5"/>
      <c r="J99" s="16"/>
      <c r="K99" s="5"/>
    </row>
    <row r="100" spans="1:11" x14ac:dyDescent="0.25">
      <c r="A100" t="s">
        <v>4</v>
      </c>
      <c r="B100" t="s">
        <v>5</v>
      </c>
      <c r="C100" s="32">
        <v>924</v>
      </c>
      <c r="D100" s="15">
        <v>1004.2715859096081</v>
      </c>
      <c r="E100" s="30"/>
      <c r="F100" s="18" t="s">
        <v>99</v>
      </c>
      <c r="G100">
        <v>5</v>
      </c>
      <c r="H100" s="30"/>
      <c r="I100" s="5"/>
      <c r="J100" s="16"/>
      <c r="K100" s="5"/>
    </row>
    <row r="101" spans="1:11" x14ac:dyDescent="0.25">
      <c r="A101" t="s">
        <v>81</v>
      </c>
      <c r="B101" t="s">
        <v>23</v>
      </c>
      <c r="C101" s="32">
        <v>631</v>
      </c>
      <c r="D101" s="15">
        <v>685.84400988948846</v>
      </c>
      <c r="E101" s="30"/>
      <c r="F101" s="18" t="s">
        <v>98</v>
      </c>
      <c r="G101">
        <v>5</v>
      </c>
      <c r="H101" s="30"/>
      <c r="I101" s="5"/>
      <c r="J101" s="16"/>
      <c r="K101" s="5"/>
    </row>
    <row r="102" spans="1:11" x14ac:dyDescent="0.25">
      <c r="A102" t="s">
        <v>44</v>
      </c>
      <c r="B102" t="s">
        <v>45</v>
      </c>
      <c r="C102" s="32">
        <v>4508</v>
      </c>
      <c r="D102" s="15">
        <v>4898.885784924918</v>
      </c>
      <c r="E102" s="30"/>
      <c r="F102" s="18" t="s">
        <v>98</v>
      </c>
      <c r="G102">
        <v>4</v>
      </c>
      <c r="H102" s="30"/>
      <c r="I102" s="5"/>
      <c r="J102" s="16"/>
      <c r="K102" s="5"/>
    </row>
    <row r="103" spans="1:11" x14ac:dyDescent="0.25">
      <c r="A103" t="s">
        <v>2</v>
      </c>
      <c r="B103" t="s">
        <v>3</v>
      </c>
      <c r="C103" s="32">
        <v>1127</v>
      </c>
      <c r="D103" s="15">
        <v>1224.7214462312295</v>
      </c>
      <c r="E103" s="30"/>
      <c r="F103" s="18" t="s">
        <v>98</v>
      </c>
      <c r="G103">
        <v>6</v>
      </c>
      <c r="H103" s="30"/>
      <c r="I103" s="5"/>
      <c r="J103" s="16"/>
      <c r="K103" s="5"/>
    </row>
    <row r="104" spans="1:11" x14ac:dyDescent="0.25">
      <c r="A104" t="s">
        <v>67</v>
      </c>
      <c r="B104" t="s">
        <v>68</v>
      </c>
      <c r="C104" s="32">
        <v>654</v>
      </c>
      <c r="D104" s="15">
        <v>710.33843881411303</v>
      </c>
      <c r="E104" s="30"/>
      <c r="F104" s="18" t="s">
        <v>99</v>
      </c>
      <c r="G104">
        <v>6</v>
      </c>
      <c r="H104" s="30"/>
      <c r="I104" s="5"/>
      <c r="J104" s="16"/>
      <c r="K104" s="5"/>
    </row>
    <row r="105" spans="1:11" x14ac:dyDescent="0.25">
      <c r="A105" t="s">
        <v>60</v>
      </c>
      <c r="B105" t="s">
        <v>61</v>
      </c>
      <c r="C105" s="32">
        <v>5252</v>
      </c>
      <c r="D105" s="15">
        <v>5707.2019394375293</v>
      </c>
      <c r="E105" s="30"/>
      <c r="F105" s="18" t="s">
        <v>99</v>
      </c>
      <c r="G105">
        <v>4</v>
      </c>
      <c r="H105" s="30"/>
      <c r="I105" s="5"/>
      <c r="J105" s="16"/>
      <c r="K105" s="5"/>
    </row>
    <row r="106" spans="1:11" x14ac:dyDescent="0.25">
      <c r="A106" t="s">
        <v>67</v>
      </c>
      <c r="B106" t="s">
        <v>68</v>
      </c>
      <c r="C106" s="32">
        <v>857</v>
      </c>
      <c r="D106" s="15">
        <v>930.78829913573441</v>
      </c>
      <c r="E106" s="30"/>
      <c r="F106" s="18" t="s">
        <v>98</v>
      </c>
      <c r="G106">
        <v>5</v>
      </c>
      <c r="H106" s="30"/>
      <c r="I106" s="5"/>
      <c r="J106" s="16"/>
      <c r="K106" s="5"/>
    </row>
    <row r="107" spans="1:11" x14ac:dyDescent="0.25">
      <c r="A107" t="s">
        <v>46</v>
      </c>
      <c r="B107" t="s">
        <v>47</v>
      </c>
      <c r="C107" s="32">
        <v>924</v>
      </c>
      <c r="D107" s="15">
        <v>1004.2715859096081</v>
      </c>
      <c r="E107" s="30"/>
      <c r="F107" s="18" t="s">
        <v>99</v>
      </c>
      <c r="G107">
        <v>4</v>
      </c>
      <c r="H107" s="30"/>
      <c r="I107" s="5"/>
      <c r="J107" s="16"/>
      <c r="K107" s="5"/>
    </row>
    <row r="108" spans="1:11" x14ac:dyDescent="0.25">
      <c r="A108" t="s">
        <v>26</v>
      </c>
      <c r="B108" t="s">
        <v>9</v>
      </c>
      <c r="C108" s="32">
        <v>654</v>
      </c>
      <c r="D108" s="15">
        <v>710.33843881411303</v>
      </c>
      <c r="E108" s="30"/>
      <c r="F108" s="18" t="s">
        <v>98</v>
      </c>
      <c r="G108">
        <v>2</v>
      </c>
      <c r="H108" s="30"/>
      <c r="I108" s="5"/>
      <c r="J108" s="16"/>
      <c r="K108" s="5"/>
    </row>
    <row r="109" spans="1:11" x14ac:dyDescent="0.25">
      <c r="A109" t="s">
        <v>6</v>
      </c>
      <c r="B109" t="s">
        <v>7</v>
      </c>
      <c r="C109" s="32">
        <v>924</v>
      </c>
      <c r="D109" s="15">
        <v>1004.2715859096081</v>
      </c>
      <c r="E109" s="30"/>
      <c r="F109" s="18" t="s">
        <v>99</v>
      </c>
      <c r="G109">
        <v>3</v>
      </c>
      <c r="H109" s="30"/>
      <c r="I109" s="5"/>
      <c r="J109" s="16"/>
      <c r="K109" s="5"/>
    </row>
    <row r="110" spans="1:11" x14ac:dyDescent="0.25">
      <c r="A110" t="s">
        <v>58</v>
      </c>
      <c r="B110" t="s">
        <v>59</v>
      </c>
      <c r="C110" s="32">
        <v>654</v>
      </c>
      <c r="D110" s="15">
        <v>710.33843881411303</v>
      </c>
      <c r="E110" s="30"/>
      <c r="F110" s="18" t="s">
        <v>99</v>
      </c>
      <c r="G110">
        <v>3</v>
      </c>
      <c r="H110" s="30"/>
      <c r="I110" s="5"/>
      <c r="J110" s="16"/>
      <c r="K110" s="5"/>
    </row>
    <row r="111" spans="1:11" x14ac:dyDescent="0.25">
      <c r="A111" t="s">
        <v>18</v>
      </c>
      <c r="B111" t="s">
        <v>19</v>
      </c>
      <c r="C111" s="32">
        <v>1127</v>
      </c>
      <c r="D111" s="15">
        <v>1224.7214462312295</v>
      </c>
      <c r="E111" s="30"/>
      <c r="F111" s="18" t="s">
        <v>99</v>
      </c>
      <c r="G111">
        <v>6</v>
      </c>
      <c r="H111" s="30"/>
      <c r="I111" s="5"/>
      <c r="J111" s="16"/>
      <c r="K111" s="5"/>
    </row>
    <row r="112" spans="1:11" x14ac:dyDescent="0.25">
      <c r="A112" t="s">
        <v>50</v>
      </c>
      <c r="B112" t="s">
        <v>51</v>
      </c>
      <c r="C112" s="32">
        <v>654</v>
      </c>
      <c r="D112" s="15">
        <v>710.33843881411303</v>
      </c>
      <c r="E112" s="30"/>
      <c r="F112" s="18" t="s">
        <v>99</v>
      </c>
      <c r="G112">
        <v>4</v>
      </c>
      <c r="H112" s="30"/>
      <c r="I112" s="5"/>
      <c r="J112" s="16"/>
      <c r="K112" s="5"/>
    </row>
    <row r="113" spans="1:11" x14ac:dyDescent="0.25">
      <c r="A113" t="s">
        <v>56</v>
      </c>
      <c r="B113" t="s">
        <v>57</v>
      </c>
      <c r="C113" s="32">
        <v>654</v>
      </c>
      <c r="D113" s="15">
        <v>710.33843881411303</v>
      </c>
      <c r="E113" s="30"/>
      <c r="F113" s="18" t="s">
        <v>99</v>
      </c>
      <c r="G113">
        <v>2</v>
      </c>
      <c r="H113" s="30"/>
      <c r="I113" s="5"/>
      <c r="J113" s="16"/>
      <c r="K113" s="5"/>
    </row>
    <row r="114" spans="1:11" x14ac:dyDescent="0.25">
      <c r="A114" t="s">
        <v>6</v>
      </c>
      <c r="B114" t="s">
        <v>7</v>
      </c>
      <c r="C114" s="32">
        <v>766</v>
      </c>
      <c r="D114" s="15">
        <v>832.81058343723601</v>
      </c>
      <c r="E114" s="30"/>
      <c r="F114" s="18" t="s">
        <v>98</v>
      </c>
      <c r="G114">
        <v>6</v>
      </c>
      <c r="H114" s="30"/>
      <c r="I114" s="5"/>
      <c r="J114" s="16"/>
      <c r="K114" s="5"/>
    </row>
    <row r="115" spans="1:11" x14ac:dyDescent="0.25">
      <c r="A115" t="s">
        <v>40</v>
      </c>
      <c r="B115" t="s">
        <v>41</v>
      </c>
      <c r="C115" s="32">
        <v>631</v>
      </c>
      <c r="D115" s="15">
        <v>685.84400988948846</v>
      </c>
      <c r="E115" s="30"/>
      <c r="F115" s="18" t="s">
        <v>98</v>
      </c>
      <c r="G115">
        <v>6</v>
      </c>
      <c r="H115" s="30"/>
      <c r="I115" s="5"/>
      <c r="J115" s="16"/>
      <c r="K115" s="5"/>
    </row>
    <row r="116" spans="1:11" x14ac:dyDescent="0.25">
      <c r="A116" t="s">
        <v>6</v>
      </c>
      <c r="B116" t="s">
        <v>7</v>
      </c>
      <c r="C116" s="32">
        <v>766</v>
      </c>
      <c r="D116" s="15">
        <v>832.81058343723601</v>
      </c>
      <c r="E116" s="30"/>
      <c r="F116" s="18" t="s">
        <v>98</v>
      </c>
      <c r="G116">
        <v>3</v>
      </c>
      <c r="H116" s="30"/>
      <c r="I116" s="5"/>
      <c r="J116" s="16"/>
      <c r="K116" s="5"/>
    </row>
    <row r="117" spans="1:11" x14ac:dyDescent="0.25">
      <c r="A117" t="s">
        <v>10</v>
      </c>
      <c r="B117" t="s">
        <v>11</v>
      </c>
      <c r="C117" s="32">
        <v>947</v>
      </c>
      <c r="D117" s="15">
        <v>1028.7660148342327</v>
      </c>
      <c r="E117" s="30"/>
      <c r="F117" s="18" t="s">
        <v>99</v>
      </c>
      <c r="G117">
        <v>6</v>
      </c>
      <c r="H117" s="30"/>
      <c r="I117" s="5"/>
      <c r="J117" s="16"/>
      <c r="K117" s="5"/>
    </row>
    <row r="118" spans="1:11" x14ac:dyDescent="0.25">
      <c r="A118" t="s">
        <v>84</v>
      </c>
      <c r="B118" t="s">
        <v>85</v>
      </c>
      <c r="C118" s="32">
        <v>654</v>
      </c>
      <c r="D118" s="15">
        <v>710.33843881411303</v>
      </c>
      <c r="E118" s="30"/>
      <c r="F118" s="18" t="s">
        <v>98</v>
      </c>
      <c r="G118">
        <v>1</v>
      </c>
      <c r="H118" s="30"/>
      <c r="I118" s="5"/>
      <c r="J118" s="16"/>
      <c r="K118" s="5"/>
    </row>
    <row r="119" spans="1:11" x14ac:dyDescent="0.25">
      <c r="A119" t="s">
        <v>29</v>
      </c>
      <c r="B119" t="s">
        <v>30</v>
      </c>
      <c r="C119" s="32">
        <v>924</v>
      </c>
      <c r="D119" s="15">
        <v>1004.2715859096081</v>
      </c>
      <c r="E119" s="30"/>
      <c r="F119" s="18" t="s">
        <v>98</v>
      </c>
      <c r="G119">
        <v>1</v>
      </c>
      <c r="H119" s="30"/>
      <c r="I119" s="5"/>
      <c r="J119" s="16"/>
      <c r="K119" s="5"/>
    </row>
    <row r="120" spans="1:11" x14ac:dyDescent="0.25">
      <c r="A120" t="s">
        <v>79</v>
      </c>
      <c r="B120" t="s">
        <v>47</v>
      </c>
      <c r="C120" s="32">
        <v>1555</v>
      </c>
      <c r="D120" s="15">
        <v>1690.1155957990966</v>
      </c>
      <c r="E120" s="30"/>
      <c r="F120" s="18" t="s">
        <v>98</v>
      </c>
      <c r="G120">
        <v>2</v>
      </c>
      <c r="H120" s="30"/>
      <c r="I120" s="5"/>
      <c r="J120" s="16"/>
      <c r="K120" s="5"/>
    </row>
    <row r="121" spans="1:11" x14ac:dyDescent="0.25">
      <c r="A121" t="s">
        <v>8</v>
      </c>
      <c r="B121" t="s">
        <v>9</v>
      </c>
      <c r="C121" s="32">
        <v>969</v>
      </c>
      <c r="D121" s="15">
        <v>1053.2604437588573</v>
      </c>
      <c r="E121" s="30"/>
      <c r="F121" s="18" t="s">
        <v>98</v>
      </c>
      <c r="G121">
        <v>4</v>
      </c>
      <c r="H121" s="30"/>
      <c r="I121" s="5"/>
      <c r="J121" s="16"/>
      <c r="K121" s="5"/>
    </row>
    <row r="122" spans="1:11" x14ac:dyDescent="0.25">
      <c r="A122" t="s">
        <v>64</v>
      </c>
      <c r="B122" t="s">
        <v>65</v>
      </c>
      <c r="C122" s="32">
        <v>1803</v>
      </c>
      <c r="D122" s="15">
        <v>1959.5543139699671</v>
      </c>
      <c r="E122" s="30"/>
      <c r="F122" s="18" t="s">
        <v>99</v>
      </c>
      <c r="G122">
        <v>3</v>
      </c>
      <c r="H122" s="30"/>
      <c r="I122" s="5"/>
      <c r="J122" s="16"/>
      <c r="K122" s="5"/>
    </row>
    <row r="123" spans="1:11" x14ac:dyDescent="0.25">
      <c r="A123" t="s">
        <v>42</v>
      </c>
      <c r="B123" t="s">
        <v>43</v>
      </c>
      <c r="C123" s="32">
        <v>631</v>
      </c>
      <c r="D123" s="15">
        <v>685.84400988948846</v>
      </c>
      <c r="E123" s="30"/>
      <c r="F123" s="18" t="s">
        <v>99</v>
      </c>
      <c r="G123">
        <v>5</v>
      </c>
      <c r="H123" s="30"/>
      <c r="I123" s="5"/>
      <c r="J123" s="16"/>
      <c r="K123" s="5"/>
    </row>
    <row r="124" spans="1:11" x14ac:dyDescent="0.25">
      <c r="A124" t="s">
        <v>14</v>
      </c>
      <c r="B124" t="s">
        <v>15</v>
      </c>
      <c r="C124" s="32">
        <v>654</v>
      </c>
      <c r="D124" s="15">
        <v>710.33843881411303</v>
      </c>
      <c r="E124" s="30"/>
      <c r="F124" s="18" t="s">
        <v>98</v>
      </c>
      <c r="G124">
        <v>6</v>
      </c>
      <c r="H124" s="30"/>
      <c r="I124" s="5"/>
      <c r="J124" s="16"/>
      <c r="K124" s="5"/>
    </row>
    <row r="125" spans="1:11" x14ac:dyDescent="0.25">
      <c r="A125" t="s">
        <v>66</v>
      </c>
      <c r="B125" t="s">
        <v>13</v>
      </c>
      <c r="C125" s="32">
        <v>654</v>
      </c>
      <c r="D125" s="15">
        <v>710.33843881411303</v>
      </c>
      <c r="E125" s="30"/>
      <c r="F125" s="18" t="s">
        <v>98</v>
      </c>
      <c r="G125">
        <v>2</v>
      </c>
      <c r="H125" s="30"/>
      <c r="I125" s="5"/>
      <c r="J125" s="16"/>
      <c r="K125" s="5"/>
    </row>
    <row r="126" spans="1:11" x14ac:dyDescent="0.25">
      <c r="A126" t="s">
        <v>29</v>
      </c>
      <c r="B126" t="s">
        <v>30</v>
      </c>
      <c r="C126" s="32">
        <v>1014</v>
      </c>
      <c r="D126" s="15">
        <v>1102.2493016081064</v>
      </c>
      <c r="E126" s="30"/>
      <c r="F126" s="18" t="s">
        <v>99</v>
      </c>
      <c r="G126">
        <v>5</v>
      </c>
      <c r="H126" s="30"/>
      <c r="I126" s="5"/>
      <c r="J126" s="16"/>
      <c r="K126" s="5"/>
    </row>
    <row r="127" spans="1:11" x14ac:dyDescent="0.25">
      <c r="A127" t="s">
        <v>16</v>
      </c>
      <c r="B127" t="s">
        <v>17</v>
      </c>
      <c r="C127" s="32">
        <v>4508</v>
      </c>
      <c r="D127" s="15">
        <v>4898.885784924918</v>
      </c>
      <c r="E127" s="30"/>
      <c r="F127" s="18" t="s">
        <v>99</v>
      </c>
      <c r="G127">
        <v>3</v>
      </c>
      <c r="H127" s="30"/>
      <c r="I127" s="5"/>
      <c r="J127" s="16"/>
      <c r="K127" s="5"/>
    </row>
    <row r="128" spans="1:11" x14ac:dyDescent="0.25">
      <c r="A128" t="s">
        <v>76</v>
      </c>
      <c r="B128" t="s">
        <v>77</v>
      </c>
      <c r="C128" s="32">
        <v>969</v>
      </c>
      <c r="D128" s="15">
        <v>1053.2604437588573</v>
      </c>
      <c r="E128" s="30"/>
      <c r="F128" s="18" t="s">
        <v>99</v>
      </c>
      <c r="G128">
        <v>5</v>
      </c>
      <c r="H128" s="30"/>
      <c r="I128" s="5"/>
      <c r="J128" s="16"/>
      <c r="K128" s="5"/>
    </row>
    <row r="129" spans="1:11" x14ac:dyDescent="0.25">
      <c r="A129" t="s">
        <v>39</v>
      </c>
      <c r="B129" t="s">
        <v>30</v>
      </c>
      <c r="C129" s="32">
        <v>654</v>
      </c>
      <c r="D129" s="15">
        <v>710.33843881411303</v>
      </c>
      <c r="E129" s="30"/>
      <c r="F129" s="18" t="s">
        <v>98</v>
      </c>
      <c r="G129">
        <v>5</v>
      </c>
      <c r="H129" s="30"/>
      <c r="I129" s="5"/>
      <c r="J129" s="16"/>
      <c r="K129" s="5"/>
    </row>
    <row r="130" spans="1:11" x14ac:dyDescent="0.25">
      <c r="A130" t="s">
        <v>29</v>
      </c>
      <c r="B130" t="s">
        <v>9</v>
      </c>
      <c r="C130" s="32">
        <v>857</v>
      </c>
      <c r="D130" s="15">
        <v>930.78829913573441</v>
      </c>
      <c r="E130" s="30"/>
      <c r="F130" s="18" t="s">
        <v>99</v>
      </c>
      <c r="G130">
        <v>1</v>
      </c>
      <c r="H130" s="30"/>
      <c r="I130" s="5"/>
      <c r="J130" s="16"/>
      <c r="K130" s="5"/>
    </row>
    <row r="131" spans="1:11" x14ac:dyDescent="0.25">
      <c r="A131" t="s">
        <v>12</v>
      </c>
      <c r="B131" t="s">
        <v>30</v>
      </c>
      <c r="C131" s="32">
        <v>1398</v>
      </c>
      <c r="D131" s="15">
        <v>1518.6545933267246</v>
      </c>
      <c r="E131" s="30"/>
      <c r="F131" s="18" t="s">
        <v>99</v>
      </c>
      <c r="G131">
        <v>3</v>
      </c>
      <c r="H131" s="30"/>
      <c r="I131" s="5"/>
      <c r="J131" s="16"/>
      <c r="K131" s="5"/>
    </row>
    <row r="132" spans="1:11" x14ac:dyDescent="0.25">
      <c r="A132" t="s">
        <v>14</v>
      </c>
      <c r="B132" t="s">
        <v>15</v>
      </c>
      <c r="C132" s="32">
        <v>2480</v>
      </c>
      <c r="D132" s="15">
        <v>2694.3871817087047</v>
      </c>
      <c r="E132" s="30"/>
      <c r="F132" s="18" t="s">
        <v>99</v>
      </c>
      <c r="G132">
        <v>5</v>
      </c>
      <c r="H132" s="30"/>
      <c r="I132" s="5"/>
      <c r="J132" s="16"/>
      <c r="K132" s="5"/>
    </row>
    <row r="133" spans="1:11" x14ac:dyDescent="0.25">
      <c r="A133" t="s">
        <v>18</v>
      </c>
      <c r="B133" t="s">
        <v>19</v>
      </c>
      <c r="C133" s="32">
        <v>1398</v>
      </c>
      <c r="D133" s="15">
        <v>1518.6545933267246</v>
      </c>
      <c r="E133" s="30"/>
      <c r="F133" s="18" t="s">
        <v>99</v>
      </c>
      <c r="G133">
        <v>4</v>
      </c>
      <c r="H133" s="30"/>
      <c r="I133" s="5"/>
      <c r="J133" s="16"/>
      <c r="K133" s="5"/>
    </row>
    <row r="134" spans="1:11" x14ac:dyDescent="0.25">
      <c r="A134" t="s">
        <v>40</v>
      </c>
      <c r="B134" t="s">
        <v>41</v>
      </c>
      <c r="C134" s="32">
        <v>924</v>
      </c>
      <c r="D134" s="15">
        <v>1004.2715859096081</v>
      </c>
      <c r="E134" s="30"/>
      <c r="F134" s="18" t="s">
        <v>98</v>
      </c>
      <c r="G134">
        <v>2</v>
      </c>
      <c r="H134" s="30"/>
      <c r="I134" s="5"/>
      <c r="J134" s="16"/>
      <c r="K134" s="5"/>
    </row>
    <row r="135" spans="1:11" x14ac:dyDescent="0.25">
      <c r="A135" t="s">
        <v>78</v>
      </c>
      <c r="B135" t="s">
        <v>63</v>
      </c>
      <c r="C135" s="32">
        <v>969</v>
      </c>
      <c r="D135" s="15">
        <v>1053.2604437588573</v>
      </c>
      <c r="E135" s="30"/>
      <c r="F135" s="18" t="s">
        <v>99</v>
      </c>
      <c r="G135">
        <v>4</v>
      </c>
      <c r="H135" s="30"/>
      <c r="I135" s="5"/>
      <c r="J135" s="16"/>
      <c r="K135" s="5"/>
    </row>
    <row r="136" spans="1:11" x14ac:dyDescent="0.25">
      <c r="A136" t="s">
        <v>18</v>
      </c>
      <c r="B136" t="s">
        <v>19</v>
      </c>
      <c r="C136" s="32">
        <v>2750</v>
      </c>
      <c r="D136" s="15">
        <v>2988.3203288042</v>
      </c>
      <c r="E136" s="30"/>
      <c r="F136" s="18" t="s">
        <v>98</v>
      </c>
      <c r="G136">
        <v>3</v>
      </c>
      <c r="H136" s="30"/>
      <c r="I136" s="5"/>
      <c r="J136" s="16"/>
      <c r="K136" s="5"/>
    </row>
    <row r="137" spans="1:11" x14ac:dyDescent="0.25">
      <c r="A137" t="s">
        <v>52</v>
      </c>
      <c r="B137" t="s">
        <v>53</v>
      </c>
      <c r="C137" s="32">
        <v>1398</v>
      </c>
      <c r="D137" s="15">
        <v>1518.6545933267246</v>
      </c>
      <c r="E137" s="30"/>
      <c r="F137" s="18" t="s">
        <v>98</v>
      </c>
      <c r="G137">
        <v>6</v>
      </c>
      <c r="H137" s="30"/>
      <c r="I137" s="5"/>
      <c r="J137" s="16"/>
      <c r="K137" s="5"/>
    </row>
    <row r="138" spans="1:11" x14ac:dyDescent="0.25">
      <c r="A138" t="s">
        <v>26</v>
      </c>
      <c r="B138" t="s">
        <v>9</v>
      </c>
      <c r="C138" s="32">
        <v>1014</v>
      </c>
      <c r="D138" s="15">
        <v>1102.2493016081064</v>
      </c>
      <c r="E138" s="30"/>
      <c r="F138" s="18" t="s">
        <v>99</v>
      </c>
      <c r="G138">
        <v>5</v>
      </c>
      <c r="H138" s="30"/>
      <c r="I138" s="5"/>
      <c r="J138" s="16"/>
      <c r="K138" s="5"/>
    </row>
    <row r="139" spans="1:11" x14ac:dyDescent="0.25">
      <c r="A139" t="s">
        <v>84</v>
      </c>
      <c r="B139" t="s">
        <v>85</v>
      </c>
      <c r="C139" s="32">
        <v>857</v>
      </c>
      <c r="D139" s="15">
        <v>930.78829913573441</v>
      </c>
      <c r="E139" s="30"/>
      <c r="F139" s="18" t="s">
        <v>99</v>
      </c>
      <c r="G139">
        <v>3</v>
      </c>
      <c r="H139" s="30"/>
      <c r="I139" s="5"/>
      <c r="J139" s="16"/>
      <c r="K139" s="5"/>
    </row>
    <row r="140" spans="1:11" x14ac:dyDescent="0.25">
      <c r="A140" t="s">
        <v>29</v>
      </c>
      <c r="B140" t="s">
        <v>30</v>
      </c>
      <c r="C140" s="32">
        <v>3607</v>
      </c>
      <c r="D140" s="15">
        <v>3919.1086279399342</v>
      </c>
      <c r="E140" s="30"/>
      <c r="F140" s="18" t="s">
        <v>98</v>
      </c>
      <c r="G140">
        <v>2</v>
      </c>
      <c r="H140" s="30"/>
      <c r="I140" s="5"/>
      <c r="J140" s="16"/>
      <c r="K140" s="5"/>
    </row>
    <row r="141" spans="1:11" x14ac:dyDescent="0.25">
      <c r="A141" t="s">
        <v>8</v>
      </c>
      <c r="B141" t="s">
        <v>9</v>
      </c>
      <c r="C141" s="32">
        <v>5635</v>
      </c>
      <c r="D141" s="15">
        <v>6123.6072311561475</v>
      </c>
      <c r="E141" s="30"/>
      <c r="F141" s="18" t="s">
        <v>98</v>
      </c>
      <c r="G141">
        <v>1</v>
      </c>
      <c r="H141" s="30"/>
      <c r="I141" s="5"/>
      <c r="J141" s="16"/>
      <c r="K141" s="5"/>
    </row>
    <row r="142" spans="1:11" x14ac:dyDescent="0.25">
      <c r="A142" t="s">
        <v>73</v>
      </c>
      <c r="B142" t="s">
        <v>74</v>
      </c>
      <c r="C142" s="32">
        <v>3471</v>
      </c>
      <c r="D142" s="15">
        <v>3772.1420543921868</v>
      </c>
      <c r="E142" s="30"/>
      <c r="F142" s="18" t="s">
        <v>99</v>
      </c>
      <c r="G142">
        <v>1</v>
      </c>
      <c r="H142" s="30"/>
      <c r="I142" s="5"/>
      <c r="J142" s="16"/>
      <c r="K142" s="5"/>
    </row>
    <row r="143" spans="1:11" x14ac:dyDescent="0.25">
      <c r="A143" t="s">
        <v>33</v>
      </c>
      <c r="B143" t="s">
        <v>34</v>
      </c>
      <c r="C143" s="32">
        <v>3043</v>
      </c>
      <c r="D143" s="15">
        <v>3306.7479048243194</v>
      </c>
      <c r="E143" s="30"/>
      <c r="F143" s="18" t="s">
        <v>98</v>
      </c>
      <c r="G143">
        <v>2</v>
      </c>
      <c r="H143" s="30"/>
      <c r="I143" s="5"/>
      <c r="J143" s="16"/>
      <c r="K143" s="5"/>
    </row>
    <row r="144" spans="1:11" x14ac:dyDescent="0.25">
      <c r="A144" t="s">
        <v>29</v>
      </c>
      <c r="B144" t="s">
        <v>9</v>
      </c>
      <c r="C144" s="32">
        <v>654</v>
      </c>
      <c r="D144" s="15">
        <v>710.33843881411303</v>
      </c>
      <c r="E144" s="30"/>
      <c r="F144" s="18" t="s">
        <v>99</v>
      </c>
      <c r="G144">
        <v>2</v>
      </c>
      <c r="H144" s="30"/>
      <c r="I144" s="5"/>
      <c r="J144" s="16"/>
      <c r="K144" s="5"/>
    </row>
    <row r="145" spans="1:11" x14ac:dyDescent="0.25">
      <c r="A145" t="s">
        <v>50</v>
      </c>
      <c r="B145" t="s">
        <v>51</v>
      </c>
      <c r="C145" s="32">
        <v>1014</v>
      </c>
      <c r="D145" s="15">
        <v>1102.2493016081064</v>
      </c>
      <c r="E145" s="30"/>
      <c r="F145" s="18" t="s">
        <v>99</v>
      </c>
      <c r="G145">
        <v>1</v>
      </c>
      <c r="H145" s="30"/>
      <c r="I145" s="5"/>
      <c r="J145" s="16"/>
      <c r="K145" s="5"/>
    </row>
    <row r="146" spans="1:11" x14ac:dyDescent="0.25">
      <c r="A146" t="s">
        <v>35</v>
      </c>
      <c r="B146" t="s">
        <v>36</v>
      </c>
      <c r="C146" s="32">
        <v>969</v>
      </c>
      <c r="D146" s="15">
        <v>1053.2604437588573</v>
      </c>
      <c r="E146" s="30"/>
      <c r="F146" s="18" t="s">
        <v>98</v>
      </c>
      <c r="G146">
        <v>2</v>
      </c>
      <c r="H146" s="30"/>
      <c r="I146" s="5"/>
      <c r="J146" s="16"/>
      <c r="K146" s="5"/>
    </row>
    <row r="147" spans="1:11" x14ac:dyDescent="0.25">
      <c r="A147" t="s">
        <v>12</v>
      </c>
      <c r="B147" t="s">
        <v>30</v>
      </c>
      <c r="C147" s="32">
        <v>654</v>
      </c>
      <c r="D147" s="15">
        <v>710.33843881411303</v>
      </c>
      <c r="E147" s="30"/>
      <c r="F147" s="18" t="s">
        <v>98</v>
      </c>
      <c r="G147">
        <v>6</v>
      </c>
      <c r="H147" s="30"/>
      <c r="I147" s="5"/>
      <c r="J147" s="16"/>
      <c r="K147" s="5"/>
    </row>
    <row r="148" spans="1:11" x14ac:dyDescent="0.25">
      <c r="A148" t="s">
        <v>12</v>
      </c>
      <c r="B148" t="s">
        <v>13</v>
      </c>
      <c r="C148" s="32">
        <v>947</v>
      </c>
      <c r="D148" s="15">
        <v>1028.7660148342327</v>
      </c>
      <c r="E148" s="30"/>
      <c r="F148" s="18" t="s">
        <v>98</v>
      </c>
      <c r="G148">
        <v>6</v>
      </c>
      <c r="H148" s="30"/>
      <c r="I148" s="5"/>
      <c r="J148" s="16"/>
      <c r="K148" s="5"/>
    </row>
    <row r="149" spans="1:11" x14ac:dyDescent="0.25">
      <c r="A149" t="s">
        <v>14</v>
      </c>
      <c r="B149" t="s">
        <v>15</v>
      </c>
      <c r="C149" s="32">
        <v>654</v>
      </c>
      <c r="D149" s="15">
        <v>710.33843881411303</v>
      </c>
      <c r="E149" s="30"/>
      <c r="F149" s="18" t="s">
        <v>98</v>
      </c>
      <c r="G149">
        <v>4</v>
      </c>
      <c r="H149" s="30"/>
      <c r="I149" s="5"/>
      <c r="J149" s="16"/>
      <c r="K149" s="5"/>
    </row>
    <row r="150" spans="1:11" x14ac:dyDescent="0.25">
      <c r="A150" t="s">
        <v>25</v>
      </c>
      <c r="B150" t="s">
        <v>24</v>
      </c>
      <c r="C150" s="32">
        <v>1803</v>
      </c>
      <c r="D150" s="15">
        <v>1959.5543139699671</v>
      </c>
      <c r="E150" s="30"/>
      <c r="F150" s="18" t="s">
        <v>99</v>
      </c>
      <c r="G150">
        <v>3</v>
      </c>
      <c r="H150" s="30"/>
      <c r="I150" s="5"/>
      <c r="J150" s="16"/>
      <c r="K150" s="5"/>
    </row>
    <row r="151" spans="1:11" x14ac:dyDescent="0.25">
      <c r="A151" t="s">
        <v>48</v>
      </c>
      <c r="B151" t="s">
        <v>49</v>
      </c>
      <c r="C151" s="32">
        <v>969</v>
      </c>
      <c r="D151" s="15">
        <v>1053.2604437588573</v>
      </c>
      <c r="E151" s="30"/>
      <c r="F151" s="18" t="s">
        <v>99</v>
      </c>
      <c r="G151">
        <v>1</v>
      </c>
      <c r="H151" s="30"/>
      <c r="I151" s="5"/>
      <c r="J151" s="16"/>
      <c r="K151" s="5"/>
    </row>
    <row r="152" spans="1:11" x14ac:dyDescent="0.25">
      <c r="A152" t="s">
        <v>2</v>
      </c>
      <c r="B152" t="s">
        <v>3</v>
      </c>
      <c r="C152" s="32">
        <v>1127</v>
      </c>
      <c r="D152" s="15">
        <v>1224.7214462312295</v>
      </c>
      <c r="E152" s="30"/>
      <c r="F152" s="18" t="s">
        <v>98</v>
      </c>
      <c r="G152">
        <v>4</v>
      </c>
      <c r="H152" s="30"/>
      <c r="I152" s="5"/>
      <c r="J152" s="16"/>
      <c r="K152" s="5"/>
    </row>
    <row r="153" spans="1:11" x14ac:dyDescent="0.25">
      <c r="A153" t="s">
        <v>22</v>
      </c>
      <c r="B153" t="s">
        <v>23</v>
      </c>
      <c r="C153" s="32">
        <v>5252</v>
      </c>
      <c r="D153" s="15">
        <v>5707.2019394375293</v>
      </c>
      <c r="E153" s="30"/>
      <c r="F153" s="18" t="s">
        <v>98</v>
      </c>
      <c r="G153">
        <v>3</v>
      </c>
      <c r="H153" s="30"/>
      <c r="I153" s="5"/>
      <c r="J153" s="16"/>
      <c r="K153" s="5"/>
    </row>
    <row r="154" spans="1:11" x14ac:dyDescent="0.25">
      <c r="A154" t="s">
        <v>12</v>
      </c>
      <c r="B154" t="s">
        <v>13</v>
      </c>
      <c r="C154" s="32">
        <v>947</v>
      </c>
      <c r="D154" s="15">
        <v>1028.7660148342327</v>
      </c>
      <c r="E154" s="30"/>
      <c r="F154" s="18" t="s">
        <v>99</v>
      </c>
      <c r="G154">
        <v>1</v>
      </c>
      <c r="H154" s="30"/>
      <c r="I154" s="5"/>
      <c r="J154" s="16"/>
      <c r="K154" s="5"/>
    </row>
    <row r="155" spans="1:11" x14ac:dyDescent="0.25">
      <c r="A155" t="s">
        <v>69</v>
      </c>
      <c r="B155" t="s">
        <v>70</v>
      </c>
      <c r="C155" s="32">
        <v>2254</v>
      </c>
      <c r="D155" s="15">
        <v>2449.442892462459</v>
      </c>
      <c r="E155" s="30"/>
      <c r="F155" s="18" t="s">
        <v>99</v>
      </c>
      <c r="G155">
        <v>5</v>
      </c>
      <c r="H155" s="30"/>
      <c r="I155" s="5"/>
      <c r="J155" s="16"/>
      <c r="K155" s="5"/>
    </row>
    <row r="156" spans="1:11" x14ac:dyDescent="0.25">
      <c r="A156" t="s">
        <v>75</v>
      </c>
      <c r="B156" t="s">
        <v>21</v>
      </c>
      <c r="C156" s="32">
        <v>924</v>
      </c>
      <c r="D156" s="15">
        <v>1004.2715859096081</v>
      </c>
      <c r="E156" s="30"/>
      <c r="F156" s="18" t="s">
        <v>98</v>
      </c>
      <c r="G156">
        <v>5</v>
      </c>
      <c r="H156" s="30"/>
      <c r="I156" s="5"/>
      <c r="J156" s="16"/>
      <c r="K156" s="5"/>
    </row>
    <row r="157" spans="1:11" x14ac:dyDescent="0.25">
      <c r="A157" t="s">
        <v>20</v>
      </c>
      <c r="B157" t="s">
        <v>21</v>
      </c>
      <c r="C157" s="32">
        <v>1736</v>
      </c>
      <c r="D157" s="15">
        <v>1886.0710271960934</v>
      </c>
      <c r="E157" s="30"/>
      <c r="F157" s="18" t="s">
        <v>99</v>
      </c>
      <c r="G157">
        <v>2</v>
      </c>
      <c r="H157" s="30"/>
      <c r="I157" s="5"/>
      <c r="J157" s="16"/>
      <c r="K157" s="5"/>
    </row>
    <row r="158" spans="1:11" x14ac:dyDescent="0.25">
      <c r="A158" t="s">
        <v>4</v>
      </c>
      <c r="B158" t="s">
        <v>5</v>
      </c>
      <c r="C158" s="32">
        <v>924</v>
      </c>
      <c r="D158" s="15">
        <v>1004.2715859096081</v>
      </c>
      <c r="E158" s="30"/>
      <c r="F158" s="18" t="s">
        <v>99</v>
      </c>
      <c r="G158">
        <v>6</v>
      </c>
      <c r="H158" s="30"/>
      <c r="I158" s="5"/>
      <c r="J158" s="16"/>
      <c r="K158" s="5"/>
    </row>
    <row r="159" spans="1:11" x14ac:dyDescent="0.25">
      <c r="A159" t="s">
        <v>16</v>
      </c>
      <c r="B159" t="s">
        <v>17</v>
      </c>
      <c r="C159" s="32">
        <v>1736</v>
      </c>
      <c r="D159" s="15">
        <v>1886.0710271960934</v>
      </c>
      <c r="E159" s="30"/>
      <c r="F159" s="18" t="s">
        <v>98</v>
      </c>
      <c r="G159">
        <v>3</v>
      </c>
      <c r="H159" s="30"/>
      <c r="I159" s="5"/>
      <c r="J159" s="16"/>
      <c r="K159" s="5"/>
    </row>
    <row r="160" spans="1:11" x14ac:dyDescent="0.25">
      <c r="A160" t="s">
        <v>81</v>
      </c>
      <c r="B160" t="s">
        <v>23</v>
      </c>
      <c r="C160" s="32">
        <v>5252</v>
      </c>
      <c r="D160" s="15">
        <v>5707.2019394375293</v>
      </c>
      <c r="E160" s="30"/>
      <c r="F160" s="18" t="s">
        <v>98</v>
      </c>
      <c r="G160">
        <v>6</v>
      </c>
      <c r="H160" s="30"/>
      <c r="I160" s="5"/>
      <c r="J160" s="16"/>
      <c r="K160" s="5"/>
    </row>
    <row r="161" spans="1:11" x14ac:dyDescent="0.25">
      <c r="A161" t="s">
        <v>12</v>
      </c>
      <c r="B161" t="s">
        <v>3</v>
      </c>
      <c r="C161" s="32">
        <v>3043</v>
      </c>
      <c r="D161" s="15">
        <v>3306.7479048243194</v>
      </c>
      <c r="E161" s="30"/>
      <c r="F161" s="18" t="s">
        <v>98</v>
      </c>
      <c r="G161">
        <v>2</v>
      </c>
      <c r="H161" s="30"/>
      <c r="I161" s="5"/>
      <c r="J161" s="16"/>
      <c r="K161" s="5"/>
    </row>
    <row r="162" spans="1:11" x14ac:dyDescent="0.25">
      <c r="A162" t="s">
        <v>35</v>
      </c>
      <c r="B162" t="s">
        <v>36</v>
      </c>
      <c r="C162" s="32">
        <v>2750</v>
      </c>
      <c r="D162" s="15">
        <v>2988.3203288042</v>
      </c>
      <c r="E162" s="30"/>
      <c r="F162" s="18" t="s">
        <v>98</v>
      </c>
      <c r="G162">
        <v>1</v>
      </c>
      <c r="H162" s="30"/>
      <c r="I162" s="5"/>
      <c r="J162" s="16"/>
      <c r="K162" s="5"/>
    </row>
    <row r="163" spans="1:11" x14ac:dyDescent="0.25">
      <c r="A163" t="s">
        <v>50</v>
      </c>
      <c r="B163" t="s">
        <v>51</v>
      </c>
      <c r="C163" s="32">
        <v>654</v>
      </c>
      <c r="D163" s="15">
        <v>710.33843881411303</v>
      </c>
      <c r="E163" s="30"/>
      <c r="F163" s="18" t="s">
        <v>98</v>
      </c>
      <c r="G163">
        <v>2</v>
      </c>
      <c r="H163" s="30"/>
      <c r="I163" s="5"/>
      <c r="J163" s="16"/>
      <c r="K163" s="5"/>
    </row>
    <row r="164" spans="1:11" x14ac:dyDescent="0.25">
      <c r="A164" t="s">
        <v>12</v>
      </c>
      <c r="B164" t="s">
        <v>13</v>
      </c>
      <c r="C164" s="32">
        <v>969</v>
      </c>
      <c r="D164" s="15">
        <v>1053.2604437588573</v>
      </c>
      <c r="E164" s="30"/>
      <c r="F164" s="18" t="s">
        <v>98</v>
      </c>
      <c r="G164">
        <v>2</v>
      </c>
      <c r="H164" s="30"/>
      <c r="I164" s="5"/>
      <c r="J164" s="16"/>
      <c r="K164" s="5"/>
    </row>
    <row r="165" spans="1:11" x14ac:dyDescent="0.25">
      <c r="A165" t="s">
        <v>60</v>
      </c>
      <c r="B165" t="s">
        <v>61</v>
      </c>
      <c r="C165" s="32">
        <v>631</v>
      </c>
      <c r="D165" s="15">
        <v>685.84400988948846</v>
      </c>
      <c r="E165" s="30"/>
      <c r="F165" s="18" t="s">
        <v>99</v>
      </c>
      <c r="G165">
        <v>1</v>
      </c>
      <c r="H165" s="30"/>
      <c r="I165" s="5"/>
      <c r="J165" s="16"/>
      <c r="K165" s="5"/>
    </row>
    <row r="166" spans="1:11" x14ac:dyDescent="0.25">
      <c r="A166" t="s">
        <v>12</v>
      </c>
      <c r="B166" t="s">
        <v>86</v>
      </c>
      <c r="C166" s="32">
        <v>654</v>
      </c>
      <c r="D166" s="15">
        <v>710.33843881411303</v>
      </c>
      <c r="E166" s="30"/>
      <c r="F166" s="18" t="s">
        <v>98</v>
      </c>
      <c r="G166">
        <v>6</v>
      </c>
      <c r="H166" s="30"/>
      <c r="I166" s="5"/>
      <c r="J166" s="16"/>
      <c r="K166" s="5"/>
    </row>
    <row r="167" spans="1:11" x14ac:dyDescent="0.25">
      <c r="A167" t="s">
        <v>2</v>
      </c>
      <c r="B167" t="s">
        <v>3</v>
      </c>
      <c r="C167" s="32">
        <v>1398</v>
      </c>
      <c r="D167" s="15">
        <v>1518.6545933267246</v>
      </c>
      <c r="E167" s="30"/>
      <c r="F167" s="18" t="s">
        <v>98</v>
      </c>
      <c r="G167">
        <v>2</v>
      </c>
      <c r="H167" s="30"/>
      <c r="I167" s="5"/>
      <c r="J167" s="16"/>
      <c r="K167" s="5"/>
    </row>
    <row r="168" spans="1:11" x14ac:dyDescent="0.25">
      <c r="A168" t="s">
        <v>66</v>
      </c>
      <c r="B168" t="s">
        <v>13</v>
      </c>
      <c r="C168" s="32">
        <v>654</v>
      </c>
      <c r="D168" s="15">
        <v>710.33843881411303</v>
      </c>
      <c r="E168" s="30"/>
      <c r="F168" s="18" t="s">
        <v>99</v>
      </c>
      <c r="G168">
        <v>4</v>
      </c>
      <c r="H168" s="30"/>
      <c r="I168" s="5"/>
      <c r="J168" s="16"/>
      <c r="K168" s="5"/>
    </row>
    <row r="169" spans="1:11" x14ac:dyDescent="0.25">
      <c r="A169" t="s">
        <v>84</v>
      </c>
      <c r="B169" t="s">
        <v>85</v>
      </c>
      <c r="C169" s="32">
        <v>1037</v>
      </c>
      <c r="D169" s="15">
        <v>1126.743730532731</v>
      </c>
      <c r="E169" s="30"/>
      <c r="F169" s="18" t="s">
        <v>98</v>
      </c>
      <c r="G169">
        <v>1</v>
      </c>
      <c r="H169" s="30"/>
      <c r="I169" s="5"/>
      <c r="J169" s="16"/>
      <c r="K169" s="5"/>
    </row>
    <row r="170" spans="1:11" x14ac:dyDescent="0.25">
      <c r="A170" t="s">
        <v>16</v>
      </c>
      <c r="B170" t="s">
        <v>17</v>
      </c>
      <c r="C170" s="32">
        <v>1127</v>
      </c>
      <c r="D170" s="15">
        <v>1224.7214462312295</v>
      </c>
      <c r="E170" s="30"/>
      <c r="F170" s="18" t="s">
        <v>99</v>
      </c>
      <c r="G170">
        <v>3</v>
      </c>
      <c r="H170" s="30"/>
      <c r="I170" s="5"/>
      <c r="J170" s="16"/>
      <c r="K170" s="5"/>
    </row>
    <row r="171" spans="1:11" x14ac:dyDescent="0.25">
      <c r="A171" t="s">
        <v>52</v>
      </c>
      <c r="B171" t="s">
        <v>53</v>
      </c>
      <c r="C171" s="32">
        <v>947</v>
      </c>
      <c r="D171" s="15">
        <v>1028.7660148342327</v>
      </c>
      <c r="E171" s="30"/>
      <c r="F171" s="18" t="s">
        <v>99</v>
      </c>
      <c r="G171">
        <v>2</v>
      </c>
      <c r="H171" s="30"/>
      <c r="I171" s="5"/>
      <c r="J171" s="16"/>
      <c r="K171" s="5"/>
    </row>
    <row r="172" spans="1:11" x14ac:dyDescent="0.25">
      <c r="A172" t="s">
        <v>16</v>
      </c>
      <c r="B172" t="s">
        <v>17</v>
      </c>
      <c r="C172" s="32">
        <v>3043</v>
      </c>
      <c r="D172" s="15">
        <v>3306.7479048243194</v>
      </c>
      <c r="E172" s="30"/>
      <c r="F172" s="18" t="s">
        <v>99</v>
      </c>
      <c r="G172">
        <v>6</v>
      </c>
      <c r="H172" s="30"/>
      <c r="I172" s="5"/>
      <c r="J172" s="16"/>
      <c r="K172" s="5"/>
    </row>
    <row r="173" spans="1:11" x14ac:dyDescent="0.25">
      <c r="A173" t="s">
        <v>29</v>
      </c>
      <c r="B173" t="s">
        <v>30</v>
      </c>
      <c r="C173" s="32">
        <v>766</v>
      </c>
      <c r="D173" s="15">
        <v>832.81058343723601</v>
      </c>
      <c r="E173" s="30"/>
      <c r="F173" s="18" t="s">
        <v>99</v>
      </c>
      <c r="G173">
        <v>5</v>
      </c>
      <c r="H173" s="30"/>
      <c r="I173" s="5"/>
      <c r="J173" s="16"/>
      <c r="K173" s="5"/>
    </row>
    <row r="174" spans="1:11" x14ac:dyDescent="0.25">
      <c r="A174" t="s">
        <v>39</v>
      </c>
      <c r="B174" t="s">
        <v>30</v>
      </c>
      <c r="C174" s="32">
        <v>969</v>
      </c>
      <c r="D174" s="15">
        <v>1053.2604437588573</v>
      </c>
      <c r="E174" s="30"/>
      <c r="F174" s="18" t="s">
        <v>99</v>
      </c>
      <c r="G174">
        <v>5</v>
      </c>
      <c r="H174" s="30"/>
      <c r="I174" s="5"/>
      <c r="J174" s="16"/>
      <c r="K174" s="5"/>
    </row>
    <row r="175" spans="1:11" x14ac:dyDescent="0.25">
      <c r="A175" t="s">
        <v>40</v>
      </c>
      <c r="B175" t="s">
        <v>41</v>
      </c>
      <c r="C175" s="32">
        <v>857</v>
      </c>
      <c r="D175" s="15">
        <v>930.78829913573441</v>
      </c>
      <c r="E175" s="30"/>
      <c r="F175" s="18" t="s">
        <v>99</v>
      </c>
      <c r="G175">
        <v>6</v>
      </c>
      <c r="H175" s="30"/>
      <c r="I175" s="5"/>
      <c r="J175" s="16"/>
      <c r="K175" s="5"/>
    </row>
    <row r="176" spans="1:11" x14ac:dyDescent="0.25">
      <c r="A176" t="s">
        <v>6</v>
      </c>
      <c r="B176" t="s">
        <v>7</v>
      </c>
      <c r="C176" s="32">
        <v>969</v>
      </c>
      <c r="D176" s="15">
        <v>1053.2604437588573</v>
      </c>
      <c r="E176" s="30"/>
      <c r="F176" s="18" t="s">
        <v>98</v>
      </c>
      <c r="G176">
        <v>1</v>
      </c>
      <c r="H176" s="30"/>
      <c r="I176" s="5"/>
      <c r="J176" s="16"/>
      <c r="K176" s="5"/>
    </row>
    <row r="177" spans="1:11" x14ac:dyDescent="0.25">
      <c r="A177" t="s">
        <v>10</v>
      </c>
      <c r="B177" t="s">
        <v>11</v>
      </c>
      <c r="C177" s="32">
        <v>654</v>
      </c>
      <c r="D177" s="15">
        <v>710.33843881411303</v>
      </c>
      <c r="E177" s="30"/>
      <c r="F177" s="18" t="s">
        <v>99</v>
      </c>
      <c r="G177">
        <v>2</v>
      </c>
      <c r="H177" s="30"/>
      <c r="I177" s="5"/>
      <c r="J177" s="16"/>
      <c r="K177" s="5"/>
    </row>
    <row r="178" spans="1:11" x14ac:dyDescent="0.25">
      <c r="A178" t="s">
        <v>12</v>
      </c>
      <c r="B178" t="s">
        <v>24</v>
      </c>
      <c r="C178" s="32">
        <v>654</v>
      </c>
      <c r="D178" s="15">
        <v>710.33843881411303</v>
      </c>
      <c r="E178" s="30"/>
      <c r="F178" s="18" t="s">
        <v>99</v>
      </c>
      <c r="G178">
        <v>5</v>
      </c>
      <c r="H178" s="30"/>
      <c r="I178" s="5"/>
      <c r="J178" s="16"/>
      <c r="K178" s="5"/>
    </row>
    <row r="179" spans="1:11" x14ac:dyDescent="0.25">
      <c r="A179" t="s">
        <v>4</v>
      </c>
      <c r="B179" t="s">
        <v>5</v>
      </c>
      <c r="C179" s="32">
        <v>2750</v>
      </c>
      <c r="D179" s="15">
        <v>2988.3203288042</v>
      </c>
      <c r="E179" s="30"/>
      <c r="F179" s="18" t="s">
        <v>99</v>
      </c>
      <c r="G179">
        <v>3</v>
      </c>
      <c r="H179" s="30"/>
      <c r="I179" s="5"/>
      <c r="J179" s="16"/>
      <c r="K179" s="5"/>
    </row>
    <row r="180" spans="1:11" x14ac:dyDescent="0.25">
      <c r="A180" t="s">
        <v>8</v>
      </c>
      <c r="B180" t="s">
        <v>9</v>
      </c>
      <c r="C180" s="32">
        <v>766</v>
      </c>
      <c r="D180" s="15">
        <v>832.81058343723601</v>
      </c>
      <c r="E180" s="30"/>
      <c r="F180" s="18" t="s">
        <v>98</v>
      </c>
      <c r="G180">
        <v>4</v>
      </c>
      <c r="H180" s="30"/>
      <c r="I180" s="5"/>
      <c r="J180" s="16"/>
      <c r="K180" s="5"/>
    </row>
    <row r="181" spans="1:11" x14ac:dyDescent="0.25">
      <c r="A181" t="s">
        <v>71</v>
      </c>
      <c r="B181" t="s">
        <v>72</v>
      </c>
      <c r="C181" s="32">
        <v>857</v>
      </c>
      <c r="D181" s="15">
        <v>930.78829913573441</v>
      </c>
      <c r="E181" s="30"/>
      <c r="F181" s="18" t="s">
        <v>98</v>
      </c>
      <c r="G181">
        <v>5</v>
      </c>
      <c r="H181" s="30"/>
      <c r="I181" s="5"/>
      <c r="J181" s="16"/>
      <c r="K181" s="5"/>
    </row>
    <row r="182" spans="1:11" x14ac:dyDescent="0.25">
      <c r="A182" t="s">
        <v>46</v>
      </c>
      <c r="B182" t="s">
        <v>47</v>
      </c>
      <c r="C182" s="32">
        <v>924</v>
      </c>
      <c r="D182" s="15">
        <v>1004.2715859096081</v>
      </c>
      <c r="E182" s="30"/>
      <c r="F182" s="18" t="s">
        <v>99</v>
      </c>
      <c r="G182">
        <v>3</v>
      </c>
      <c r="H182" s="30"/>
      <c r="I182" s="5"/>
      <c r="J182" s="16"/>
      <c r="K182" s="5"/>
    </row>
    <row r="183" spans="1:11" x14ac:dyDescent="0.25">
      <c r="A183" t="s">
        <v>12</v>
      </c>
      <c r="B183" t="s">
        <v>3</v>
      </c>
      <c r="C183" s="32">
        <v>857</v>
      </c>
      <c r="D183" s="15">
        <v>930.78829913573441</v>
      </c>
      <c r="E183" s="30"/>
      <c r="F183" s="18" t="s">
        <v>98</v>
      </c>
      <c r="G183">
        <v>1</v>
      </c>
      <c r="H183" s="30"/>
      <c r="I183" s="5"/>
      <c r="J183" s="16"/>
      <c r="K183" s="5"/>
    </row>
    <row r="184" spans="1:11" x14ac:dyDescent="0.25">
      <c r="A184" t="s">
        <v>48</v>
      </c>
      <c r="B184" t="s">
        <v>49</v>
      </c>
      <c r="C184" s="32">
        <v>654</v>
      </c>
      <c r="D184" s="15">
        <v>710.33843881411303</v>
      </c>
      <c r="E184" s="30"/>
      <c r="F184" s="18" t="s">
        <v>99</v>
      </c>
      <c r="G184">
        <v>4</v>
      </c>
      <c r="H184" s="30"/>
      <c r="I184" s="5"/>
      <c r="J184" s="16"/>
      <c r="K184" s="5"/>
    </row>
    <row r="185" spans="1:11" x14ac:dyDescent="0.25">
      <c r="A185" t="s">
        <v>71</v>
      </c>
      <c r="B185" t="s">
        <v>72</v>
      </c>
      <c r="C185" s="32">
        <v>857</v>
      </c>
      <c r="D185" s="15">
        <v>930.78829913573441</v>
      </c>
      <c r="E185" s="30"/>
      <c r="F185" s="18" t="s">
        <v>99</v>
      </c>
      <c r="G185">
        <v>3</v>
      </c>
      <c r="H185" s="30"/>
      <c r="I185" s="5"/>
      <c r="J185" s="16"/>
      <c r="K185" s="5"/>
    </row>
    <row r="186" spans="1:11" x14ac:dyDescent="0.25">
      <c r="A186" t="s">
        <v>71</v>
      </c>
      <c r="B186" t="s">
        <v>72</v>
      </c>
      <c r="C186" s="32">
        <v>654</v>
      </c>
      <c r="D186" s="15">
        <v>710.33843881411303</v>
      </c>
      <c r="E186" s="30"/>
      <c r="F186" s="18" t="s">
        <v>98</v>
      </c>
      <c r="G186">
        <v>4</v>
      </c>
      <c r="H186" s="30"/>
      <c r="I186" s="5"/>
      <c r="J186" s="16"/>
      <c r="K186" s="5"/>
    </row>
    <row r="187" spans="1:11" x14ac:dyDescent="0.25">
      <c r="A187" t="s">
        <v>10</v>
      </c>
      <c r="B187" t="s">
        <v>11</v>
      </c>
      <c r="C187" s="32">
        <v>1014</v>
      </c>
      <c r="D187" s="15">
        <v>1102.2493016081064</v>
      </c>
      <c r="E187" s="30"/>
      <c r="F187" s="18" t="s">
        <v>99</v>
      </c>
      <c r="G187">
        <v>3</v>
      </c>
      <c r="H187" s="30"/>
      <c r="I187" s="5"/>
      <c r="J187" s="16"/>
      <c r="K187" s="5"/>
    </row>
    <row r="188" spans="1:11" x14ac:dyDescent="0.25">
      <c r="A188" t="s">
        <v>16</v>
      </c>
      <c r="B188" t="s">
        <v>17</v>
      </c>
      <c r="C188" s="32">
        <v>969</v>
      </c>
      <c r="D188" s="15">
        <v>1053.2604437588573</v>
      </c>
      <c r="E188" s="30"/>
      <c r="F188" s="18" t="s">
        <v>98</v>
      </c>
      <c r="G188">
        <v>5</v>
      </c>
      <c r="H188" s="30"/>
      <c r="I188" s="5"/>
      <c r="J188" s="16"/>
      <c r="K188" s="5"/>
    </row>
    <row r="189" spans="1:11" x14ac:dyDescent="0.25">
      <c r="A189" t="s">
        <v>52</v>
      </c>
      <c r="B189" t="s">
        <v>53</v>
      </c>
      <c r="C189" s="32">
        <v>857</v>
      </c>
      <c r="D189" s="15">
        <v>930.78829913573441</v>
      </c>
      <c r="E189" s="30"/>
      <c r="F189" s="18" t="s">
        <v>98</v>
      </c>
      <c r="G189">
        <v>5</v>
      </c>
      <c r="H189" s="30"/>
      <c r="I189" s="5"/>
      <c r="J189" s="16"/>
      <c r="K189" s="5"/>
    </row>
    <row r="190" spans="1:11" x14ac:dyDescent="0.25">
      <c r="A190" t="s">
        <v>50</v>
      </c>
      <c r="B190" t="s">
        <v>51</v>
      </c>
      <c r="C190" s="32">
        <v>654</v>
      </c>
      <c r="D190" s="15">
        <v>710.33843881411303</v>
      </c>
      <c r="E190" s="30"/>
      <c r="F190" s="18" t="s">
        <v>99</v>
      </c>
      <c r="G190">
        <v>1</v>
      </c>
      <c r="H190" s="30"/>
      <c r="I190" s="5"/>
      <c r="J190" s="16"/>
      <c r="K190" s="5"/>
    </row>
    <row r="191" spans="1:11" x14ac:dyDescent="0.25">
      <c r="A191" t="s">
        <v>48</v>
      </c>
      <c r="B191" t="s">
        <v>49</v>
      </c>
      <c r="C191" s="32">
        <v>857</v>
      </c>
      <c r="D191" s="15">
        <v>930.78829913573441</v>
      </c>
      <c r="E191" s="30"/>
      <c r="F191" s="18" t="s">
        <v>98</v>
      </c>
      <c r="G191">
        <v>6</v>
      </c>
      <c r="H191" s="30"/>
      <c r="I191" s="5"/>
      <c r="J191" s="16"/>
      <c r="K191" s="5"/>
    </row>
    <row r="192" spans="1:11" x14ac:dyDescent="0.25">
      <c r="A192" t="s">
        <v>12</v>
      </c>
      <c r="B192" t="s">
        <v>3</v>
      </c>
      <c r="C192" s="32">
        <v>766</v>
      </c>
      <c r="D192" s="15">
        <v>832.81058343723601</v>
      </c>
      <c r="E192" s="30"/>
      <c r="F192" s="18" t="s">
        <v>98</v>
      </c>
      <c r="G192">
        <v>5</v>
      </c>
      <c r="H192" s="30"/>
      <c r="I192" s="5"/>
      <c r="J192" s="16"/>
      <c r="K192" s="5"/>
    </row>
    <row r="193" spans="1:11" x14ac:dyDescent="0.25">
      <c r="A193" t="s">
        <v>12</v>
      </c>
      <c r="B193" t="s">
        <v>3</v>
      </c>
      <c r="C193" s="32">
        <v>924</v>
      </c>
      <c r="D193" s="15">
        <v>1004.2715859096081</v>
      </c>
      <c r="E193" s="30"/>
      <c r="F193" s="18" t="s">
        <v>98</v>
      </c>
      <c r="G193">
        <v>6</v>
      </c>
      <c r="H193" s="30"/>
      <c r="I193" s="5"/>
      <c r="J193" s="16"/>
      <c r="K193" s="5"/>
    </row>
    <row r="194" spans="1:11" x14ac:dyDescent="0.25">
      <c r="A194" t="s">
        <v>56</v>
      </c>
      <c r="B194" t="s">
        <v>57</v>
      </c>
      <c r="C194" s="32">
        <v>654</v>
      </c>
      <c r="D194" s="15">
        <v>710.33843881411303</v>
      </c>
      <c r="E194" s="30"/>
      <c r="F194" s="18" t="s">
        <v>98</v>
      </c>
      <c r="G194">
        <v>4</v>
      </c>
      <c r="H194" s="30"/>
      <c r="I194" s="5"/>
      <c r="J194" s="16"/>
      <c r="K194" s="5"/>
    </row>
    <row r="195" spans="1:11" x14ac:dyDescent="0.25">
      <c r="A195" t="s">
        <v>27</v>
      </c>
      <c r="B195" t="s">
        <v>28</v>
      </c>
      <c r="C195" s="32">
        <v>4508</v>
      </c>
      <c r="D195" s="15">
        <v>4898.885784924918</v>
      </c>
      <c r="E195" s="30"/>
      <c r="F195" s="18" t="s">
        <v>99</v>
      </c>
      <c r="G195">
        <v>1</v>
      </c>
      <c r="H195" s="30"/>
      <c r="I195" s="5"/>
      <c r="J195" s="16"/>
      <c r="K195" s="5"/>
    </row>
    <row r="196" spans="1:11" x14ac:dyDescent="0.25">
      <c r="A196" t="s">
        <v>16</v>
      </c>
      <c r="B196" t="s">
        <v>17</v>
      </c>
      <c r="C196" s="32">
        <v>1398</v>
      </c>
      <c r="D196" s="15">
        <v>1518.6545933267246</v>
      </c>
      <c r="E196" s="30"/>
      <c r="F196" s="18" t="s">
        <v>99</v>
      </c>
      <c r="G196">
        <v>3</v>
      </c>
      <c r="H196" s="30"/>
      <c r="I196" s="5"/>
      <c r="J196" s="16"/>
      <c r="K196" s="5"/>
    </row>
    <row r="197" spans="1:11" x14ac:dyDescent="0.25">
      <c r="A197" t="s">
        <v>48</v>
      </c>
      <c r="B197" t="s">
        <v>49</v>
      </c>
      <c r="C197" s="32">
        <v>654</v>
      </c>
      <c r="D197" s="15">
        <v>710.33843881411303</v>
      </c>
      <c r="E197" s="30"/>
      <c r="F197" s="18" t="s">
        <v>98</v>
      </c>
      <c r="G197">
        <v>2</v>
      </c>
      <c r="H197" s="30"/>
      <c r="I197" s="5"/>
      <c r="J197" s="16"/>
      <c r="K197" s="5"/>
    </row>
    <row r="198" spans="1:11" x14ac:dyDescent="0.25">
      <c r="A198" t="s">
        <v>29</v>
      </c>
      <c r="B198" t="s">
        <v>30</v>
      </c>
      <c r="C198" s="32">
        <v>3471</v>
      </c>
      <c r="D198" s="15">
        <v>3772.1420543921868</v>
      </c>
      <c r="E198" s="30"/>
      <c r="F198" s="18" t="s">
        <v>99</v>
      </c>
      <c r="G198">
        <v>1</v>
      </c>
      <c r="H198" s="30"/>
      <c r="I198" s="5"/>
      <c r="J198" s="16"/>
      <c r="K198" s="5"/>
    </row>
    <row r="199" spans="1:11" x14ac:dyDescent="0.25">
      <c r="A199" t="s">
        <v>26</v>
      </c>
      <c r="B199" t="s">
        <v>9</v>
      </c>
      <c r="C199" s="32">
        <v>969</v>
      </c>
      <c r="D199" s="15">
        <v>1053.2604437588573</v>
      </c>
      <c r="E199" s="30"/>
      <c r="F199" s="18" t="s">
        <v>98</v>
      </c>
      <c r="G199">
        <v>6</v>
      </c>
      <c r="H199" s="30"/>
      <c r="I199" s="5"/>
      <c r="J199" s="16"/>
      <c r="K199" s="5"/>
    </row>
    <row r="200" spans="1:11" x14ac:dyDescent="0.25">
      <c r="A200" t="s">
        <v>84</v>
      </c>
      <c r="B200" t="s">
        <v>85</v>
      </c>
      <c r="C200" s="32">
        <v>969</v>
      </c>
      <c r="D200" s="15">
        <v>1053.2604437588573</v>
      </c>
      <c r="E200" s="30"/>
      <c r="F200" s="18" t="s">
        <v>98</v>
      </c>
      <c r="G200">
        <v>3</v>
      </c>
      <c r="H200" s="30"/>
      <c r="I200" s="5"/>
      <c r="J200" s="16"/>
      <c r="K200" s="5"/>
    </row>
    <row r="201" spans="1:11" x14ac:dyDescent="0.25">
      <c r="A201" t="s">
        <v>29</v>
      </c>
      <c r="B201" t="s">
        <v>30</v>
      </c>
      <c r="C201" s="32">
        <v>3043</v>
      </c>
      <c r="D201" s="15">
        <v>3306.7479048243194</v>
      </c>
      <c r="E201" s="30"/>
      <c r="F201" s="18" t="s">
        <v>98</v>
      </c>
      <c r="G201">
        <v>6</v>
      </c>
      <c r="H201" s="30"/>
      <c r="I201" s="5"/>
      <c r="J201" s="16"/>
      <c r="K201" s="5"/>
    </row>
    <row r="202" spans="1:11" x14ac:dyDescent="0.25">
      <c r="A202" t="s">
        <v>8</v>
      </c>
      <c r="B202" t="s">
        <v>9</v>
      </c>
      <c r="C202" s="32">
        <v>654</v>
      </c>
      <c r="D202" s="15">
        <v>710.33843881411303</v>
      </c>
      <c r="E202" s="30"/>
      <c r="F202" s="18" t="s">
        <v>98</v>
      </c>
      <c r="G202">
        <v>6</v>
      </c>
      <c r="H202" s="30"/>
      <c r="I202" s="5"/>
      <c r="J202" s="16"/>
      <c r="K202" s="5"/>
    </row>
    <row r="203" spans="1:11" x14ac:dyDescent="0.25">
      <c r="A203" t="s">
        <v>64</v>
      </c>
      <c r="B203" t="s">
        <v>65</v>
      </c>
      <c r="C203" s="32">
        <v>1037</v>
      </c>
      <c r="D203" s="15">
        <v>1126.743730532731</v>
      </c>
      <c r="E203" s="30"/>
      <c r="F203" s="18" t="s">
        <v>98</v>
      </c>
      <c r="G203">
        <v>1</v>
      </c>
      <c r="H203" s="30"/>
      <c r="I203" s="5"/>
      <c r="J203" s="16"/>
      <c r="K203" s="5"/>
    </row>
    <row r="204" spans="1:11" x14ac:dyDescent="0.25">
      <c r="A204" t="s">
        <v>16</v>
      </c>
      <c r="B204" t="s">
        <v>17</v>
      </c>
      <c r="C204" s="32">
        <v>5252</v>
      </c>
      <c r="D204" s="15">
        <v>5707.2019394375293</v>
      </c>
      <c r="E204" s="30"/>
      <c r="F204" s="18" t="s">
        <v>98</v>
      </c>
      <c r="G204">
        <v>4</v>
      </c>
      <c r="H204" s="30"/>
      <c r="I204" s="5"/>
      <c r="J204" s="16"/>
      <c r="K204" s="5"/>
    </row>
    <row r="205" spans="1:11" x14ac:dyDescent="0.25">
      <c r="A205" t="s">
        <v>16</v>
      </c>
      <c r="B205" t="s">
        <v>17</v>
      </c>
      <c r="C205" s="32">
        <v>654</v>
      </c>
      <c r="D205" s="15">
        <v>710.33843881411303</v>
      </c>
      <c r="E205" s="30"/>
      <c r="F205" s="18" t="s">
        <v>98</v>
      </c>
      <c r="G205">
        <v>2</v>
      </c>
      <c r="H205" s="30"/>
      <c r="I205" s="5"/>
      <c r="J205" s="16"/>
      <c r="K205" s="5"/>
    </row>
    <row r="206" spans="1:11" x14ac:dyDescent="0.25">
      <c r="A206" t="s">
        <v>73</v>
      </c>
      <c r="B206" t="s">
        <v>74</v>
      </c>
      <c r="C206" s="32">
        <v>947</v>
      </c>
      <c r="D206" s="15">
        <v>1028.7660148342327</v>
      </c>
      <c r="E206" s="30"/>
      <c r="F206" s="18" t="s">
        <v>99</v>
      </c>
      <c r="G206">
        <v>2</v>
      </c>
      <c r="H206" s="30"/>
      <c r="I206" s="5"/>
      <c r="J206" s="16"/>
      <c r="K206" s="5"/>
    </row>
    <row r="207" spans="1:11" x14ac:dyDescent="0.25">
      <c r="A207" t="s">
        <v>27</v>
      </c>
      <c r="B207" t="s">
        <v>28</v>
      </c>
      <c r="C207" s="32">
        <v>654</v>
      </c>
      <c r="D207" s="15">
        <v>710.33843881411303</v>
      </c>
      <c r="E207" s="30"/>
      <c r="F207" s="18" t="s">
        <v>99</v>
      </c>
      <c r="G207">
        <v>4</v>
      </c>
      <c r="H207" s="30"/>
      <c r="I207" s="5"/>
      <c r="J207" s="16"/>
      <c r="K207" s="5"/>
    </row>
    <row r="208" spans="1:11" x14ac:dyDescent="0.25">
      <c r="A208" t="s">
        <v>35</v>
      </c>
      <c r="B208" t="s">
        <v>36</v>
      </c>
      <c r="C208" s="32">
        <v>766</v>
      </c>
      <c r="D208" s="15">
        <v>832.81058343723601</v>
      </c>
      <c r="E208" s="30"/>
      <c r="F208" s="18" t="s">
        <v>98</v>
      </c>
      <c r="G208">
        <v>3</v>
      </c>
      <c r="H208" s="30"/>
      <c r="I208" s="5"/>
      <c r="J208" s="16"/>
      <c r="K208" s="5"/>
    </row>
    <row r="209" spans="1:11" x14ac:dyDescent="0.25">
      <c r="A209" t="s">
        <v>12</v>
      </c>
      <c r="B209" t="s">
        <v>13</v>
      </c>
      <c r="C209" s="32">
        <v>1555</v>
      </c>
      <c r="D209" s="15">
        <v>1690.1155957990966</v>
      </c>
      <c r="E209" s="30"/>
      <c r="F209" s="18" t="s">
        <v>99</v>
      </c>
      <c r="G209">
        <v>1</v>
      </c>
      <c r="H209" s="30"/>
      <c r="I209" s="5"/>
      <c r="J209" s="16"/>
      <c r="K209" s="5"/>
    </row>
    <row r="210" spans="1:11" x14ac:dyDescent="0.25">
      <c r="A210" t="s">
        <v>18</v>
      </c>
      <c r="B210" t="s">
        <v>19</v>
      </c>
      <c r="C210" s="32">
        <v>1127</v>
      </c>
      <c r="D210" s="15">
        <v>1224.7214462312295</v>
      </c>
      <c r="E210" s="30"/>
      <c r="F210" s="18" t="s">
        <v>98</v>
      </c>
      <c r="G210">
        <v>6</v>
      </c>
      <c r="H210" s="30"/>
      <c r="I210" s="5"/>
      <c r="J210" s="16"/>
      <c r="K210" s="5"/>
    </row>
    <row r="211" spans="1:11" x14ac:dyDescent="0.25">
      <c r="A211" t="s">
        <v>14</v>
      </c>
      <c r="B211" t="s">
        <v>15</v>
      </c>
      <c r="C211" s="32">
        <v>2750</v>
      </c>
      <c r="D211" s="15">
        <v>2988.3203288042</v>
      </c>
      <c r="E211" s="30"/>
      <c r="F211" s="18" t="s">
        <v>99</v>
      </c>
      <c r="G211">
        <v>4</v>
      </c>
      <c r="H211" s="30"/>
      <c r="I211" s="5"/>
      <c r="J211" s="16"/>
      <c r="K211" s="5"/>
    </row>
    <row r="212" spans="1:11" x14ac:dyDescent="0.25">
      <c r="A212" t="s">
        <v>75</v>
      </c>
      <c r="B212" t="s">
        <v>21</v>
      </c>
      <c r="C212" s="32">
        <v>969</v>
      </c>
      <c r="D212" s="15">
        <v>1053.2604437588573</v>
      </c>
      <c r="E212" s="30"/>
      <c r="F212" s="18" t="s">
        <v>98</v>
      </c>
      <c r="G212">
        <v>4</v>
      </c>
      <c r="H212" s="30"/>
      <c r="I212" s="5"/>
      <c r="J212" s="16"/>
      <c r="K212" s="5"/>
    </row>
    <row r="213" spans="1:11" x14ac:dyDescent="0.25">
      <c r="A213" t="s">
        <v>12</v>
      </c>
      <c r="B213" t="s">
        <v>3</v>
      </c>
      <c r="C213" s="32">
        <v>766</v>
      </c>
      <c r="D213" s="15">
        <v>832.81058343723601</v>
      </c>
      <c r="E213" s="30"/>
      <c r="F213" s="18" t="s">
        <v>99</v>
      </c>
      <c r="G213">
        <v>3</v>
      </c>
      <c r="H213" s="30"/>
      <c r="I213" s="5"/>
      <c r="J213" s="16"/>
      <c r="K213" s="5"/>
    </row>
    <row r="214" spans="1:11" x14ac:dyDescent="0.25">
      <c r="A214" t="s">
        <v>12</v>
      </c>
      <c r="B214" t="s">
        <v>24</v>
      </c>
      <c r="C214" s="32">
        <v>654</v>
      </c>
      <c r="D214" s="15">
        <v>710.33843881411303</v>
      </c>
      <c r="E214" s="30"/>
      <c r="F214" s="18" t="s">
        <v>98</v>
      </c>
      <c r="G214">
        <v>5</v>
      </c>
      <c r="H214" s="30"/>
      <c r="I214" s="5"/>
      <c r="J214" s="16"/>
      <c r="K214" s="5"/>
    </row>
    <row r="215" spans="1:11" x14ac:dyDescent="0.25">
      <c r="A215" t="s">
        <v>42</v>
      </c>
      <c r="B215" t="s">
        <v>43</v>
      </c>
      <c r="C215" s="32">
        <v>1037</v>
      </c>
      <c r="D215" s="15">
        <v>1126.743730532731</v>
      </c>
      <c r="E215" s="30"/>
      <c r="F215" s="18" t="s">
        <v>98</v>
      </c>
      <c r="G215">
        <v>2</v>
      </c>
      <c r="H215" s="30"/>
      <c r="I215" s="5"/>
      <c r="J215" s="16"/>
      <c r="K215" s="5"/>
    </row>
    <row r="216" spans="1:11" x14ac:dyDescent="0.25">
      <c r="A216" t="s">
        <v>31</v>
      </c>
      <c r="B216" t="s">
        <v>32</v>
      </c>
      <c r="C216" s="32">
        <v>969</v>
      </c>
      <c r="D216" s="15">
        <v>1053.2604437588573</v>
      </c>
      <c r="E216" s="30"/>
      <c r="F216" s="18" t="s">
        <v>99</v>
      </c>
      <c r="G216">
        <v>6</v>
      </c>
      <c r="H216" s="30"/>
      <c r="I216" s="5"/>
      <c r="J216" s="16"/>
      <c r="K216" s="5"/>
    </row>
    <row r="217" spans="1:11" x14ac:dyDescent="0.25">
      <c r="A217" t="s">
        <v>20</v>
      </c>
      <c r="B217" t="s">
        <v>21</v>
      </c>
      <c r="C217" s="32">
        <v>654</v>
      </c>
      <c r="D217" s="15">
        <v>710.33843881411303</v>
      </c>
      <c r="E217" s="30"/>
      <c r="F217" s="18" t="s">
        <v>99</v>
      </c>
      <c r="G217">
        <v>3</v>
      </c>
      <c r="H217" s="30"/>
      <c r="I217" s="5"/>
      <c r="J217" s="16"/>
      <c r="K217" s="5"/>
    </row>
    <row r="218" spans="1:11" x14ac:dyDescent="0.25">
      <c r="A218" t="s">
        <v>66</v>
      </c>
      <c r="B218" t="s">
        <v>13</v>
      </c>
      <c r="C218" s="32">
        <v>654</v>
      </c>
      <c r="D218" s="15">
        <v>710.33843881411303</v>
      </c>
      <c r="E218" s="30"/>
      <c r="F218" s="18" t="s">
        <v>98</v>
      </c>
      <c r="G218">
        <v>2</v>
      </c>
      <c r="H218" s="30"/>
      <c r="I218" s="5"/>
      <c r="J218" s="16"/>
      <c r="K218" s="5"/>
    </row>
    <row r="219" spans="1:11" x14ac:dyDescent="0.25">
      <c r="A219" t="s">
        <v>37</v>
      </c>
      <c r="B219" t="s">
        <v>38</v>
      </c>
      <c r="C219" s="32">
        <v>3043</v>
      </c>
      <c r="D219" s="15">
        <v>3306.7479048243194</v>
      </c>
      <c r="E219" s="30"/>
      <c r="F219" s="18" t="s">
        <v>98</v>
      </c>
      <c r="G219">
        <v>2</v>
      </c>
      <c r="H219" s="30"/>
      <c r="I219" s="5"/>
      <c r="J219" s="16"/>
      <c r="K219" s="5"/>
    </row>
    <row r="220" spans="1:11" x14ac:dyDescent="0.25">
      <c r="A220" t="s">
        <v>31</v>
      </c>
      <c r="B220" t="s">
        <v>32</v>
      </c>
      <c r="C220" s="32">
        <v>1736</v>
      </c>
      <c r="D220" s="15">
        <v>1886.0710271960934</v>
      </c>
      <c r="E220" s="30"/>
      <c r="F220" s="18" t="s">
        <v>99</v>
      </c>
      <c r="G220">
        <v>3</v>
      </c>
      <c r="H220" s="30"/>
      <c r="I220" s="5"/>
      <c r="J220" s="16"/>
      <c r="K220" s="5"/>
    </row>
    <row r="221" spans="1:11" x14ac:dyDescent="0.25">
      <c r="A221" t="s">
        <v>76</v>
      </c>
      <c r="B221" t="s">
        <v>77</v>
      </c>
      <c r="C221" s="32">
        <v>654</v>
      </c>
      <c r="D221" s="15">
        <v>710.33843881411303</v>
      </c>
      <c r="E221" s="30"/>
      <c r="F221" s="18" t="s">
        <v>99</v>
      </c>
      <c r="G221">
        <v>2</v>
      </c>
      <c r="H221" s="30"/>
      <c r="I221" s="5"/>
      <c r="J221" s="16"/>
      <c r="K221" s="5"/>
    </row>
    <row r="222" spans="1:11" x14ac:dyDescent="0.25">
      <c r="A222" t="s">
        <v>16</v>
      </c>
      <c r="B222" t="s">
        <v>17</v>
      </c>
      <c r="C222" s="32">
        <v>1127</v>
      </c>
      <c r="D222" s="15">
        <v>1224.7214462312295</v>
      </c>
      <c r="E222" s="30"/>
      <c r="F222" s="18" t="s">
        <v>98</v>
      </c>
      <c r="G222">
        <v>2</v>
      </c>
      <c r="H222" s="30"/>
      <c r="I222" s="5"/>
      <c r="J222" s="16"/>
      <c r="K222" s="5"/>
    </row>
    <row r="223" spans="1:11" x14ac:dyDescent="0.25">
      <c r="A223" t="s">
        <v>79</v>
      </c>
      <c r="B223" t="s">
        <v>47</v>
      </c>
      <c r="C223" s="32">
        <v>924</v>
      </c>
      <c r="D223" s="15">
        <v>1004.2715859096081</v>
      </c>
      <c r="E223" s="30"/>
      <c r="F223" s="18" t="s">
        <v>98</v>
      </c>
      <c r="G223">
        <v>6</v>
      </c>
      <c r="H223" s="30"/>
      <c r="I223" s="5"/>
      <c r="J223" s="16"/>
      <c r="K223" s="5"/>
    </row>
    <row r="224" spans="1:11" x14ac:dyDescent="0.25">
      <c r="A224" t="s">
        <v>27</v>
      </c>
      <c r="B224" t="s">
        <v>28</v>
      </c>
      <c r="C224" s="32">
        <v>766</v>
      </c>
      <c r="D224" s="15">
        <v>832.81058343723601</v>
      </c>
      <c r="E224" s="30"/>
      <c r="F224" s="18" t="s">
        <v>99</v>
      </c>
      <c r="G224">
        <v>1</v>
      </c>
      <c r="H224" s="30"/>
      <c r="I224" s="5"/>
      <c r="J224" s="16"/>
      <c r="K224" s="5"/>
    </row>
    <row r="225" spans="1:11" x14ac:dyDescent="0.25">
      <c r="A225" t="s">
        <v>12</v>
      </c>
      <c r="B225" t="s">
        <v>24</v>
      </c>
      <c r="C225" s="32">
        <v>631</v>
      </c>
      <c r="D225" s="15">
        <v>685.84400988948846</v>
      </c>
      <c r="E225" s="30"/>
      <c r="F225" s="18" t="s">
        <v>99</v>
      </c>
      <c r="G225">
        <v>5</v>
      </c>
      <c r="H225" s="30"/>
      <c r="I225" s="5"/>
      <c r="J225" s="16"/>
      <c r="K225" s="5"/>
    </row>
    <row r="226" spans="1:11" x14ac:dyDescent="0.25">
      <c r="A226" t="s">
        <v>78</v>
      </c>
      <c r="B226" t="s">
        <v>63</v>
      </c>
      <c r="C226" s="32">
        <v>2750</v>
      </c>
      <c r="D226" s="15">
        <v>2988.3203288042</v>
      </c>
      <c r="E226" s="30"/>
      <c r="F226" s="18" t="s">
        <v>98</v>
      </c>
      <c r="G226">
        <v>6</v>
      </c>
      <c r="H226" s="30"/>
      <c r="I226" s="5"/>
      <c r="J226" s="16"/>
      <c r="K226" s="5"/>
    </row>
    <row r="227" spans="1:11" x14ac:dyDescent="0.25">
      <c r="A227" t="s">
        <v>29</v>
      </c>
      <c r="B227" t="s">
        <v>9</v>
      </c>
      <c r="C227" s="32">
        <v>857</v>
      </c>
      <c r="D227" s="15">
        <v>930.78829913573441</v>
      </c>
      <c r="E227" s="30"/>
      <c r="F227" s="18" t="s">
        <v>98</v>
      </c>
      <c r="G227">
        <v>2</v>
      </c>
      <c r="H227" s="30"/>
      <c r="I227" s="5"/>
      <c r="J227" s="16"/>
      <c r="K227" s="5"/>
    </row>
    <row r="228" spans="1:11" x14ac:dyDescent="0.25">
      <c r="A228" t="s">
        <v>2</v>
      </c>
      <c r="B228" t="s">
        <v>3</v>
      </c>
      <c r="C228" s="32">
        <v>631</v>
      </c>
      <c r="D228" s="15">
        <v>685.84400988948846</v>
      </c>
      <c r="E228" s="30"/>
      <c r="F228" s="18" t="s">
        <v>99</v>
      </c>
      <c r="G228">
        <v>5</v>
      </c>
      <c r="H228" s="30"/>
      <c r="I228" s="5"/>
      <c r="J228" s="16"/>
      <c r="K228" s="5"/>
    </row>
    <row r="229" spans="1:11" x14ac:dyDescent="0.25">
      <c r="A229" t="s">
        <v>29</v>
      </c>
      <c r="B229" t="s">
        <v>9</v>
      </c>
      <c r="C229" s="32">
        <v>969</v>
      </c>
      <c r="D229" s="15">
        <v>1053.2604437588573</v>
      </c>
      <c r="E229" s="30"/>
      <c r="F229" s="18" t="s">
        <v>98</v>
      </c>
      <c r="G229">
        <v>4</v>
      </c>
      <c r="H229" s="30"/>
      <c r="I229" s="5"/>
      <c r="J229" s="16"/>
      <c r="K229" s="5"/>
    </row>
    <row r="230" spans="1:11" x14ac:dyDescent="0.25">
      <c r="A230" t="s">
        <v>2</v>
      </c>
      <c r="B230" t="s">
        <v>3</v>
      </c>
      <c r="C230" s="32">
        <v>631</v>
      </c>
      <c r="D230" s="15">
        <v>685.84400988948846</v>
      </c>
      <c r="E230" s="30"/>
      <c r="F230" s="18" t="s">
        <v>99</v>
      </c>
      <c r="G230">
        <v>2</v>
      </c>
      <c r="H230" s="30"/>
      <c r="I230" s="5"/>
      <c r="J230" s="16"/>
      <c r="K230" s="5"/>
    </row>
    <row r="231" spans="1:11" x14ac:dyDescent="0.25">
      <c r="A231" t="s">
        <v>71</v>
      </c>
      <c r="B231" t="s">
        <v>72</v>
      </c>
      <c r="C231" s="32">
        <v>924</v>
      </c>
      <c r="D231" s="15">
        <v>1004.2715859096081</v>
      </c>
      <c r="E231" s="30"/>
      <c r="F231" s="18" t="s">
        <v>98</v>
      </c>
      <c r="G231">
        <v>4</v>
      </c>
      <c r="H231" s="30"/>
      <c r="I231" s="5"/>
      <c r="J231" s="16"/>
      <c r="K231" s="5"/>
    </row>
    <row r="232" spans="1:11" x14ac:dyDescent="0.25">
      <c r="A232" t="s">
        <v>31</v>
      </c>
      <c r="B232" t="s">
        <v>32</v>
      </c>
      <c r="C232" s="32">
        <v>631</v>
      </c>
      <c r="D232" s="15">
        <v>685.84400988948846</v>
      </c>
      <c r="E232" s="30"/>
      <c r="F232" s="18" t="s">
        <v>98</v>
      </c>
      <c r="G232">
        <v>1</v>
      </c>
      <c r="H232" s="30"/>
      <c r="I232" s="5"/>
      <c r="J232" s="16"/>
      <c r="K232" s="5"/>
    </row>
    <row r="233" spans="1:11" x14ac:dyDescent="0.25">
      <c r="A233" t="s">
        <v>6</v>
      </c>
      <c r="B233" t="s">
        <v>7</v>
      </c>
      <c r="C233" s="32">
        <v>1803</v>
      </c>
      <c r="D233" s="15">
        <v>1959.5543139699671</v>
      </c>
      <c r="E233" s="30"/>
      <c r="F233" s="18" t="s">
        <v>98</v>
      </c>
      <c r="G233">
        <v>6</v>
      </c>
      <c r="H233" s="30"/>
      <c r="I233" s="5"/>
      <c r="J233" s="16"/>
      <c r="K233" s="5"/>
    </row>
    <row r="234" spans="1:11" x14ac:dyDescent="0.25">
      <c r="A234" t="s">
        <v>80</v>
      </c>
      <c r="B234" t="s">
        <v>57</v>
      </c>
      <c r="C234" s="32">
        <v>654</v>
      </c>
      <c r="D234" s="15">
        <v>710.33843881411303</v>
      </c>
      <c r="E234" s="30"/>
      <c r="F234" s="18" t="s">
        <v>98</v>
      </c>
      <c r="G234">
        <v>5</v>
      </c>
      <c r="H234" s="30"/>
      <c r="I234" s="5"/>
      <c r="J234" s="16"/>
      <c r="K234" s="5"/>
    </row>
    <row r="235" spans="1:11" x14ac:dyDescent="0.25">
      <c r="A235" t="s">
        <v>56</v>
      </c>
      <c r="B235" t="s">
        <v>57</v>
      </c>
      <c r="C235" s="32">
        <v>3043</v>
      </c>
      <c r="D235" s="15">
        <v>3306.7479048243194</v>
      </c>
      <c r="E235" s="30"/>
      <c r="F235" s="18" t="s">
        <v>99</v>
      </c>
      <c r="G235">
        <v>4</v>
      </c>
      <c r="H235" s="30"/>
      <c r="I235" s="5"/>
      <c r="J235" s="16"/>
      <c r="K235" s="5"/>
    </row>
    <row r="236" spans="1:11" x14ac:dyDescent="0.25">
      <c r="A236" t="s">
        <v>37</v>
      </c>
      <c r="B236" t="s">
        <v>38</v>
      </c>
      <c r="C236" s="32">
        <v>924</v>
      </c>
      <c r="D236" s="15">
        <v>1004.2715859096081</v>
      </c>
      <c r="E236" s="30"/>
      <c r="F236" s="18" t="s">
        <v>99</v>
      </c>
      <c r="G236">
        <v>4</v>
      </c>
      <c r="H236" s="30"/>
      <c r="I236" s="5"/>
      <c r="J236" s="16"/>
      <c r="K236" s="5"/>
    </row>
    <row r="237" spans="1:11" x14ac:dyDescent="0.25">
      <c r="A237" t="s">
        <v>78</v>
      </c>
      <c r="B237" t="s">
        <v>63</v>
      </c>
      <c r="C237" s="32">
        <v>654</v>
      </c>
      <c r="D237" s="15">
        <v>710.33843881411303</v>
      </c>
      <c r="E237" s="30"/>
      <c r="F237" s="18" t="s">
        <v>98</v>
      </c>
      <c r="G237">
        <v>5</v>
      </c>
      <c r="H237" s="30"/>
      <c r="I237" s="5"/>
      <c r="J237" s="16"/>
      <c r="K237" s="5"/>
    </row>
    <row r="238" spans="1:11" x14ac:dyDescent="0.25">
      <c r="A238" t="s">
        <v>14</v>
      </c>
      <c r="B238" t="s">
        <v>15</v>
      </c>
      <c r="C238" s="32">
        <v>969</v>
      </c>
      <c r="D238" s="15">
        <v>1053.2604437588573</v>
      </c>
      <c r="E238" s="30"/>
      <c r="F238" s="18" t="s">
        <v>99</v>
      </c>
      <c r="G238">
        <v>3</v>
      </c>
      <c r="H238" s="30"/>
      <c r="I238" s="5"/>
      <c r="J238" s="16"/>
      <c r="K238" s="5"/>
    </row>
    <row r="239" spans="1:11" x14ac:dyDescent="0.25">
      <c r="A239" t="s">
        <v>37</v>
      </c>
      <c r="B239" t="s">
        <v>38</v>
      </c>
      <c r="C239" s="32">
        <v>1555</v>
      </c>
      <c r="D239" s="15">
        <v>1690.1155957990966</v>
      </c>
      <c r="E239" s="30"/>
      <c r="F239" s="18" t="s">
        <v>98</v>
      </c>
      <c r="G239">
        <v>4</v>
      </c>
      <c r="H239" s="30"/>
      <c r="I239" s="5"/>
      <c r="J239" s="16"/>
      <c r="K239" s="5"/>
    </row>
    <row r="240" spans="1:11" x14ac:dyDescent="0.25">
      <c r="A240" t="s">
        <v>14</v>
      </c>
      <c r="B240" t="s">
        <v>15</v>
      </c>
      <c r="C240" s="32">
        <v>2750</v>
      </c>
      <c r="D240" s="15">
        <v>2988.3203288042</v>
      </c>
      <c r="E240" s="30"/>
      <c r="F240" s="18" t="s">
        <v>98</v>
      </c>
      <c r="G240">
        <v>5</v>
      </c>
      <c r="H240" s="30"/>
      <c r="I240" s="5"/>
      <c r="J240" s="16"/>
      <c r="K240" s="5"/>
    </row>
    <row r="241" spans="1:11" x14ac:dyDescent="0.25">
      <c r="A241" t="s">
        <v>4</v>
      </c>
      <c r="B241" t="s">
        <v>5</v>
      </c>
      <c r="C241" s="32">
        <v>1014</v>
      </c>
      <c r="D241" s="15">
        <v>1102.2493016081064</v>
      </c>
      <c r="E241" s="30"/>
      <c r="F241" s="18" t="s">
        <v>98</v>
      </c>
      <c r="G241">
        <v>4</v>
      </c>
      <c r="H241" s="30"/>
      <c r="I241" s="5"/>
      <c r="J241" s="16"/>
      <c r="K241" s="5"/>
    </row>
    <row r="242" spans="1:11" x14ac:dyDescent="0.25">
      <c r="A242" t="s">
        <v>4</v>
      </c>
      <c r="B242" t="s">
        <v>5</v>
      </c>
      <c r="C242" s="32">
        <v>1014</v>
      </c>
      <c r="D242" s="15">
        <v>1102.2493016081064</v>
      </c>
      <c r="E242" s="30"/>
      <c r="F242" s="18" t="s">
        <v>98</v>
      </c>
      <c r="G242">
        <v>6</v>
      </c>
      <c r="H242" s="30"/>
      <c r="I242" s="5"/>
      <c r="J242" s="16"/>
      <c r="K242" s="5"/>
    </row>
    <row r="243" spans="1:11" x14ac:dyDescent="0.25">
      <c r="A243" t="s">
        <v>4</v>
      </c>
      <c r="B243" t="s">
        <v>5</v>
      </c>
      <c r="C243" s="32">
        <v>654</v>
      </c>
      <c r="D243" s="15">
        <v>710.33843881411303</v>
      </c>
      <c r="E243" s="30"/>
      <c r="F243" s="18" t="s">
        <v>98</v>
      </c>
      <c r="G243">
        <v>5</v>
      </c>
      <c r="H243" s="30"/>
      <c r="I243" s="5"/>
      <c r="J243" s="16"/>
      <c r="K243" s="5"/>
    </row>
    <row r="244" spans="1:11" x14ac:dyDescent="0.25">
      <c r="A244" t="s">
        <v>8</v>
      </c>
      <c r="B244" t="s">
        <v>9</v>
      </c>
      <c r="C244" s="32">
        <v>654</v>
      </c>
      <c r="D244" s="15">
        <v>710.33843881411303</v>
      </c>
      <c r="E244" s="30"/>
      <c r="F244" s="18" t="s">
        <v>99</v>
      </c>
      <c r="G244">
        <v>5</v>
      </c>
      <c r="H244" s="30"/>
      <c r="I244" s="5"/>
      <c r="J244" s="16"/>
      <c r="K244" s="5"/>
    </row>
    <row r="245" spans="1:11" x14ac:dyDescent="0.25">
      <c r="A245" t="s">
        <v>46</v>
      </c>
      <c r="B245" t="s">
        <v>47</v>
      </c>
      <c r="C245" s="32">
        <v>924</v>
      </c>
      <c r="D245" s="15">
        <v>1004.2715859096081</v>
      </c>
      <c r="E245" s="30"/>
      <c r="F245" s="18" t="s">
        <v>99</v>
      </c>
      <c r="G245">
        <v>5</v>
      </c>
      <c r="H245" s="30"/>
      <c r="I245" s="5"/>
      <c r="J245" s="16"/>
      <c r="K245" s="5"/>
    </row>
    <row r="246" spans="1:11" x14ac:dyDescent="0.25">
      <c r="A246" t="s">
        <v>39</v>
      </c>
      <c r="B246" t="s">
        <v>30</v>
      </c>
      <c r="C246" s="32">
        <v>3043</v>
      </c>
      <c r="D246" s="15">
        <v>3306.7479048243194</v>
      </c>
      <c r="E246" s="30"/>
      <c r="F246" s="18" t="s">
        <v>99</v>
      </c>
      <c r="G246">
        <v>3</v>
      </c>
      <c r="H246" s="30"/>
      <c r="I246" s="5"/>
      <c r="J246" s="16"/>
      <c r="K246" s="5"/>
    </row>
    <row r="247" spans="1:11" x14ac:dyDescent="0.25">
      <c r="A247" t="s">
        <v>44</v>
      </c>
      <c r="B247" t="s">
        <v>45</v>
      </c>
      <c r="C247" s="32">
        <v>654</v>
      </c>
      <c r="D247" s="15">
        <v>710.33843881411303</v>
      </c>
      <c r="E247" s="30"/>
      <c r="F247" s="18" t="s">
        <v>98</v>
      </c>
      <c r="G247">
        <v>5</v>
      </c>
      <c r="H247" s="30"/>
      <c r="I247" s="5"/>
      <c r="J247" s="16"/>
      <c r="K247" s="5"/>
    </row>
    <row r="248" spans="1:11" x14ac:dyDescent="0.25">
      <c r="A248" t="s">
        <v>29</v>
      </c>
      <c r="B248" t="s">
        <v>30</v>
      </c>
      <c r="C248" s="32">
        <v>924</v>
      </c>
      <c r="D248" s="15">
        <v>1004.2715859096081</v>
      </c>
      <c r="E248" s="30"/>
      <c r="F248" s="18" t="s">
        <v>98</v>
      </c>
      <c r="G248">
        <v>5</v>
      </c>
      <c r="H248" s="30"/>
      <c r="I248" s="5"/>
      <c r="J248" s="16"/>
      <c r="K248" s="5"/>
    </row>
    <row r="249" spans="1:11" x14ac:dyDescent="0.25">
      <c r="A249" t="s">
        <v>25</v>
      </c>
      <c r="B249" t="s">
        <v>24</v>
      </c>
      <c r="C249" s="32">
        <v>924</v>
      </c>
      <c r="D249" s="15">
        <v>1004.2715859096081</v>
      </c>
      <c r="E249" s="30"/>
      <c r="F249" s="18" t="s">
        <v>99</v>
      </c>
      <c r="G249">
        <v>2</v>
      </c>
      <c r="H249" s="30"/>
      <c r="I249" s="5"/>
      <c r="J249" s="16"/>
      <c r="K249" s="5"/>
    </row>
    <row r="250" spans="1:11" x14ac:dyDescent="0.25">
      <c r="A250" t="s">
        <v>12</v>
      </c>
      <c r="B250" t="s">
        <v>13</v>
      </c>
      <c r="C250" s="32">
        <v>3043</v>
      </c>
      <c r="D250" s="15">
        <v>3306.7479048243194</v>
      </c>
      <c r="E250" s="30"/>
      <c r="F250" s="18" t="s">
        <v>99</v>
      </c>
      <c r="G250">
        <v>5</v>
      </c>
      <c r="H250" s="30"/>
      <c r="I250" s="5"/>
      <c r="J250" s="16"/>
      <c r="K250" s="5"/>
    </row>
    <row r="251" spans="1:11" x14ac:dyDescent="0.25">
      <c r="A251" t="s">
        <v>12</v>
      </c>
      <c r="B251" t="s">
        <v>30</v>
      </c>
      <c r="C251" s="32">
        <v>4508</v>
      </c>
      <c r="D251" s="15">
        <v>4898.885784924918</v>
      </c>
      <c r="E251" s="30"/>
      <c r="F251" s="18" t="s">
        <v>98</v>
      </c>
      <c r="G251">
        <v>1</v>
      </c>
      <c r="H251" s="30"/>
      <c r="I251" s="5"/>
      <c r="J251" s="16"/>
      <c r="K251" s="5"/>
    </row>
    <row r="252" spans="1:11" x14ac:dyDescent="0.25">
      <c r="A252" t="s">
        <v>10</v>
      </c>
      <c r="B252" t="s">
        <v>11</v>
      </c>
      <c r="C252" s="32">
        <v>654</v>
      </c>
      <c r="D252" s="15">
        <v>710.33843881411303</v>
      </c>
      <c r="E252" s="30"/>
      <c r="F252" s="18" t="s">
        <v>99</v>
      </c>
      <c r="G252">
        <v>1</v>
      </c>
      <c r="H252" s="30"/>
      <c r="I252" s="5"/>
      <c r="J252" s="16"/>
      <c r="K252" s="5"/>
    </row>
    <row r="253" spans="1:11" x14ac:dyDescent="0.25">
      <c r="A253" t="s">
        <v>18</v>
      </c>
      <c r="B253" t="s">
        <v>19</v>
      </c>
      <c r="C253" s="32">
        <v>857</v>
      </c>
      <c r="D253" s="15">
        <v>930.78829913573441</v>
      </c>
      <c r="E253" s="30"/>
      <c r="F253" s="18" t="s">
        <v>99</v>
      </c>
      <c r="G253">
        <v>1</v>
      </c>
      <c r="H253" s="30"/>
      <c r="I253" s="5"/>
      <c r="J253" s="16"/>
      <c r="K253" s="5"/>
    </row>
    <row r="254" spans="1:11" x14ac:dyDescent="0.25">
      <c r="A254" t="s">
        <v>54</v>
      </c>
      <c r="B254" t="s">
        <v>55</v>
      </c>
      <c r="C254" s="32">
        <v>924</v>
      </c>
      <c r="D254" s="15">
        <v>1004.2715859096081</v>
      </c>
      <c r="E254" s="30"/>
      <c r="F254" s="18" t="s">
        <v>99</v>
      </c>
      <c r="G254">
        <v>3</v>
      </c>
      <c r="H254" s="30"/>
      <c r="I254" s="5"/>
      <c r="J254" s="16"/>
      <c r="K254" s="5"/>
    </row>
    <row r="255" spans="1:11" x14ac:dyDescent="0.25">
      <c r="A255" t="s">
        <v>26</v>
      </c>
      <c r="B255" t="s">
        <v>9</v>
      </c>
      <c r="C255" s="32">
        <v>654</v>
      </c>
      <c r="D255" s="15">
        <v>710.33843881411303</v>
      </c>
      <c r="E255" s="30"/>
      <c r="F255" s="18" t="s">
        <v>98</v>
      </c>
      <c r="G255">
        <v>4</v>
      </c>
      <c r="H255" s="30"/>
      <c r="I255" s="5"/>
      <c r="J255" s="16"/>
      <c r="K255" s="5"/>
    </row>
    <row r="256" spans="1:11" x14ac:dyDescent="0.25">
      <c r="A256" t="s">
        <v>40</v>
      </c>
      <c r="B256" t="s">
        <v>41</v>
      </c>
      <c r="C256" s="32">
        <v>5252</v>
      </c>
      <c r="D256" s="15">
        <v>5707.2019394375293</v>
      </c>
      <c r="E256" s="30"/>
      <c r="F256" s="18" t="s">
        <v>98</v>
      </c>
      <c r="G256">
        <v>2</v>
      </c>
      <c r="H256" s="30"/>
      <c r="I256" s="5"/>
      <c r="J256" s="16"/>
      <c r="K256" s="5"/>
    </row>
    <row r="257" spans="1:11" x14ac:dyDescent="0.25">
      <c r="A257" t="s">
        <v>14</v>
      </c>
      <c r="B257" t="s">
        <v>15</v>
      </c>
      <c r="C257" s="32">
        <v>4508</v>
      </c>
      <c r="D257" s="15">
        <v>4898.885784924918</v>
      </c>
      <c r="E257" s="30"/>
      <c r="F257" s="18" t="s">
        <v>99</v>
      </c>
      <c r="G257">
        <v>6</v>
      </c>
      <c r="H257" s="30"/>
      <c r="I257" s="5"/>
      <c r="J257" s="16"/>
      <c r="K257" s="5"/>
    </row>
    <row r="258" spans="1:11" x14ac:dyDescent="0.25">
      <c r="A258" t="s">
        <v>10</v>
      </c>
      <c r="B258" t="s">
        <v>11</v>
      </c>
      <c r="C258" s="32">
        <v>1172</v>
      </c>
      <c r="D258" s="15">
        <v>1273.7103040804786</v>
      </c>
      <c r="E258" s="30"/>
      <c r="F258" s="18" t="s">
        <v>99</v>
      </c>
      <c r="G258">
        <v>6</v>
      </c>
      <c r="H258" s="30"/>
      <c r="I258" s="5"/>
      <c r="J258" s="16"/>
      <c r="K258" s="5"/>
    </row>
    <row r="259" spans="1:11" x14ac:dyDescent="0.25">
      <c r="A259" t="s">
        <v>12</v>
      </c>
      <c r="B259" t="s">
        <v>30</v>
      </c>
      <c r="C259" s="32">
        <v>1578</v>
      </c>
      <c r="D259" s="15">
        <v>1714.6100247237212</v>
      </c>
      <c r="E259" s="30"/>
      <c r="F259" s="18" t="s">
        <v>99</v>
      </c>
      <c r="G259">
        <v>2</v>
      </c>
      <c r="H259" s="30"/>
      <c r="I259" s="5"/>
      <c r="J259" s="16"/>
      <c r="K259" s="5"/>
    </row>
    <row r="260" spans="1:11" x14ac:dyDescent="0.25">
      <c r="A260" t="s">
        <v>22</v>
      </c>
      <c r="B260" t="s">
        <v>23</v>
      </c>
      <c r="C260" s="32">
        <v>766</v>
      </c>
      <c r="D260" s="15">
        <v>832.81058343723601</v>
      </c>
      <c r="E260" s="30"/>
      <c r="F260" s="18" t="s">
        <v>98</v>
      </c>
      <c r="G260">
        <v>3</v>
      </c>
      <c r="H260" s="30"/>
      <c r="I260" s="5"/>
      <c r="J260" s="16"/>
      <c r="K260" s="5"/>
    </row>
    <row r="261" spans="1:11" x14ac:dyDescent="0.25">
      <c r="A261" t="s">
        <v>12</v>
      </c>
      <c r="B261" t="s">
        <v>13</v>
      </c>
      <c r="C261" s="32">
        <v>2750</v>
      </c>
      <c r="D261" s="15">
        <v>2988.3203288042</v>
      </c>
      <c r="E261" s="30"/>
      <c r="F261" s="18" t="s">
        <v>98</v>
      </c>
      <c r="G261">
        <v>1</v>
      </c>
      <c r="H261" s="30"/>
      <c r="I261" s="5"/>
      <c r="J261" s="16"/>
      <c r="K261" s="5"/>
    </row>
    <row r="262" spans="1:11" x14ac:dyDescent="0.25">
      <c r="A262" t="s">
        <v>25</v>
      </c>
      <c r="B262" t="s">
        <v>24</v>
      </c>
      <c r="C262" s="32">
        <v>3471</v>
      </c>
      <c r="D262" s="15">
        <v>3772.1420543921868</v>
      </c>
      <c r="E262" s="30"/>
      <c r="F262" s="18" t="s">
        <v>99</v>
      </c>
      <c r="G262">
        <v>2</v>
      </c>
      <c r="H262" s="30"/>
      <c r="I262" s="5"/>
      <c r="J262" s="16"/>
      <c r="K262" s="5"/>
    </row>
    <row r="263" spans="1:11" x14ac:dyDescent="0.25">
      <c r="A263" t="s">
        <v>29</v>
      </c>
      <c r="B263" t="s">
        <v>30</v>
      </c>
      <c r="C263" s="32">
        <v>969</v>
      </c>
      <c r="D263" s="15">
        <v>1053.2604437588573</v>
      </c>
      <c r="E263" s="30"/>
      <c r="F263" s="18" t="s">
        <v>98</v>
      </c>
      <c r="G263">
        <v>1</v>
      </c>
      <c r="H263" s="30"/>
      <c r="I263" s="5"/>
      <c r="J263" s="16"/>
      <c r="K263" s="5"/>
    </row>
    <row r="264" spans="1:11" x14ac:dyDescent="0.25">
      <c r="A264" t="s">
        <v>33</v>
      </c>
      <c r="B264" t="s">
        <v>34</v>
      </c>
      <c r="C264" s="32">
        <v>857</v>
      </c>
      <c r="D264" s="15">
        <v>930.78829913573441</v>
      </c>
      <c r="E264" s="30"/>
      <c r="F264" s="18" t="s">
        <v>98</v>
      </c>
      <c r="G264">
        <v>4</v>
      </c>
      <c r="H264" s="30"/>
      <c r="I264" s="5"/>
      <c r="J264" s="16"/>
      <c r="K264" s="5"/>
    </row>
    <row r="265" spans="1:11" x14ac:dyDescent="0.25">
      <c r="A265" t="s">
        <v>14</v>
      </c>
      <c r="B265" t="s">
        <v>15</v>
      </c>
      <c r="C265" s="32">
        <v>3607</v>
      </c>
      <c r="D265" s="15">
        <v>3919.1086279399342</v>
      </c>
      <c r="E265" s="30"/>
      <c r="F265" s="18" t="s">
        <v>99</v>
      </c>
      <c r="G265">
        <v>5</v>
      </c>
      <c r="H265" s="30"/>
      <c r="I265" s="5"/>
      <c r="J265" s="16"/>
      <c r="K265" s="5"/>
    </row>
    <row r="266" spans="1:11" x14ac:dyDescent="0.25">
      <c r="A266" t="s">
        <v>84</v>
      </c>
      <c r="B266" t="s">
        <v>85</v>
      </c>
      <c r="C266" s="32">
        <v>654</v>
      </c>
      <c r="D266" s="15">
        <v>710.33843881411303</v>
      </c>
      <c r="E266" s="30"/>
      <c r="F266" s="18" t="s">
        <v>98</v>
      </c>
      <c r="G266">
        <v>2</v>
      </c>
      <c r="H266" s="30"/>
      <c r="I266" s="5"/>
      <c r="J266" s="16"/>
      <c r="K266" s="5"/>
    </row>
    <row r="267" spans="1:11" x14ac:dyDescent="0.25">
      <c r="A267" t="s">
        <v>46</v>
      </c>
      <c r="B267" t="s">
        <v>47</v>
      </c>
      <c r="C267" s="32">
        <v>969</v>
      </c>
      <c r="D267" s="15">
        <v>1053.2604437588573</v>
      </c>
      <c r="E267" s="30"/>
      <c r="F267" s="18" t="s">
        <v>98</v>
      </c>
      <c r="G267">
        <v>3</v>
      </c>
      <c r="H267" s="30"/>
      <c r="I267" s="5"/>
      <c r="J267" s="16"/>
      <c r="K267" s="5"/>
    </row>
    <row r="268" spans="1:11" x14ac:dyDescent="0.25">
      <c r="A268" t="s">
        <v>29</v>
      </c>
      <c r="B268" t="s">
        <v>30</v>
      </c>
      <c r="C268" s="32">
        <v>3607</v>
      </c>
      <c r="D268" s="15">
        <v>3919.1086279399342</v>
      </c>
      <c r="E268" s="30"/>
      <c r="F268" s="18" t="s">
        <v>98</v>
      </c>
      <c r="G268">
        <v>2</v>
      </c>
      <c r="H268" s="30"/>
      <c r="I268" s="5"/>
      <c r="J268" s="16"/>
      <c r="K268" s="5"/>
    </row>
    <row r="269" spans="1:11" x14ac:dyDescent="0.25">
      <c r="A269" t="s">
        <v>8</v>
      </c>
      <c r="B269" t="s">
        <v>9</v>
      </c>
      <c r="C269" s="32">
        <v>4508</v>
      </c>
      <c r="D269" s="15">
        <v>4898.885784924918</v>
      </c>
      <c r="E269" s="30"/>
      <c r="F269" s="18" t="s">
        <v>99</v>
      </c>
      <c r="G269">
        <v>5</v>
      </c>
      <c r="H269" s="30"/>
      <c r="I269" s="5"/>
      <c r="J269" s="16"/>
      <c r="K269" s="5"/>
    </row>
    <row r="270" spans="1:11" x14ac:dyDescent="0.25">
      <c r="A270" t="s">
        <v>14</v>
      </c>
      <c r="B270" t="s">
        <v>15</v>
      </c>
      <c r="C270" s="32">
        <v>3043</v>
      </c>
      <c r="D270" s="15">
        <v>3306.7479048243194</v>
      </c>
      <c r="E270" s="30"/>
      <c r="F270" s="18" t="s">
        <v>99</v>
      </c>
      <c r="G270">
        <v>2</v>
      </c>
      <c r="H270" s="30"/>
      <c r="I270" s="5"/>
      <c r="J270" s="16"/>
      <c r="K270" s="5"/>
    </row>
    <row r="271" spans="1:11" x14ac:dyDescent="0.25">
      <c r="A271" t="s">
        <v>6</v>
      </c>
      <c r="B271" t="s">
        <v>7</v>
      </c>
      <c r="C271" s="32">
        <v>969</v>
      </c>
      <c r="D271" s="15">
        <v>1053.2604437588573</v>
      </c>
      <c r="E271" s="30"/>
      <c r="F271" s="18" t="s">
        <v>98</v>
      </c>
      <c r="G271">
        <v>3</v>
      </c>
      <c r="H271" s="30"/>
      <c r="I271" s="5"/>
      <c r="J271" s="16"/>
      <c r="K271" s="5"/>
    </row>
    <row r="272" spans="1:11" x14ac:dyDescent="0.25">
      <c r="A272" t="s">
        <v>26</v>
      </c>
      <c r="B272" t="s">
        <v>9</v>
      </c>
      <c r="C272" s="32">
        <v>654</v>
      </c>
      <c r="D272" s="15">
        <v>710.33843881411303</v>
      </c>
      <c r="E272" s="30"/>
      <c r="F272" s="18" t="s">
        <v>99</v>
      </c>
      <c r="G272">
        <v>5</v>
      </c>
      <c r="H272" s="30"/>
      <c r="I272" s="5"/>
      <c r="J272" s="16"/>
      <c r="K272" s="5"/>
    </row>
    <row r="273" spans="1:11" x14ac:dyDescent="0.25">
      <c r="A273" t="s">
        <v>71</v>
      </c>
      <c r="B273" t="s">
        <v>72</v>
      </c>
      <c r="C273" s="32">
        <v>5635</v>
      </c>
      <c r="D273" s="15">
        <v>6123.6072311561475</v>
      </c>
      <c r="E273" s="30"/>
      <c r="F273" s="18" t="s">
        <v>99</v>
      </c>
      <c r="G273">
        <v>5</v>
      </c>
      <c r="H273" s="30"/>
      <c r="I273" s="5"/>
      <c r="J273" s="16"/>
      <c r="K273" s="5"/>
    </row>
    <row r="274" spans="1:11" x14ac:dyDescent="0.25">
      <c r="A274" t="s">
        <v>46</v>
      </c>
      <c r="B274" t="s">
        <v>47</v>
      </c>
      <c r="C274" s="32">
        <v>857</v>
      </c>
      <c r="D274" s="15">
        <v>930.78829913573441</v>
      </c>
      <c r="E274" s="30"/>
      <c r="F274" s="18" t="s">
        <v>98</v>
      </c>
      <c r="G274">
        <v>4</v>
      </c>
      <c r="H274" s="30"/>
      <c r="I274" s="5"/>
      <c r="J274" s="16"/>
      <c r="K274" s="5"/>
    </row>
    <row r="275" spans="1:11" x14ac:dyDescent="0.25">
      <c r="A275" t="s">
        <v>10</v>
      </c>
      <c r="B275" t="s">
        <v>11</v>
      </c>
      <c r="C275" s="32">
        <v>654</v>
      </c>
      <c r="D275" s="15">
        <v>710.33843881411303</v>
      </c>
      <c r="E275" s="30"/>
      <c r="F275" s="18" t="s">
        <v>99</v>
      </c>
      <c r="G275">
        <v>6</v>
      </c>
      <c r="H275" s="30"/>
      <c r="I275" s="5"/>
      <c r="J275" s="16"/>
      <c r="K275" s="5"/>
    </row>
    <row r="276" spans="1:11" x14ac:dyDescent="0.25">
      <c r="A276" t="s">
        <v>29</v>
      </c>
      <c r="B276" t="s">
        <v>30</v>
      </c>
      <c r="C276" s="32">
        <v>3607</v>
      </c>
      <c r="D276" s="15">
        <v>3919.1086279399342</v>
      </c>
      <c r="E276" s="30"/>
      <c r="F276" s="18" t="s">
        <v>99</v>
      </c>
      <c r="G276">
        <v>4</v>
      </c>
      <c r="H276" s="30"/>
      <c r="I276" s="5"/>
      <c r="J276" s="16"/>
      <c r="K276" s="5"/>
    </row>
    <row r="277" spans="1:11" x14ac:dyDescent="0.25">
      <c r="A277" t="s">
        <v>39</v>
      </c>
      <c r="B277" t="s">
        <v>30</v>
      </c>
      <c r="C277" s="32">
        <v>924</v>
      </c>
      <c r="D277" s="15">
        <v>1004.2715859096081</v>
      </c>
      <c r="E277" s="30"/>
      <c r="F277" s="18" t="s">
        <v>99</v>
      </c>
      <c r="G277">
        <v>6</v>
      </c>
      <c r="H277" s="30"/>
      <c r="I277" s="5"/>
      <c r="J277" s="16"/>
      <c r="K277" s="5"/>
    </row>
    <row r="278" spans="1:11" x14ac:dyDescent="0.25">
      <c r="A278" t="s">
        <v>10</v>
      </c>
      <c r="B278" t="s">
        <v>11</v>
      </c>
      <c r="C278" s="32">
        <v>947</v>
      </c>
      <c r="D278" s="15">
        <v>1028.7660148342327</v>
      </c>
      <c r="E278" s="30"/>
      <c r="F278" s="18" t="s">
        <v>99</v>
      </c>
      <c r="G278">
        <v>3</v>
      </c>
      <c r="H278" s="30"/>
      <c r="I278" s="5"/>
      <c r="J278" s="16"/>
      <c r="K278" s="5"/>
    </row>
    <row r="279" spans="1:11" x14ac:dyDescent="0.25">
      <c r="A279" t="s">
        <v>82</v>
      </c>
      <c r="B279" t="s">
        <v>83</v>
      </c>
      <c r="C279" s="32">
        <v>3291</v>
      </c>
      <c r="D279" s="15">
        <v>3576.1866229951897</v>
      </c>
      <c r="E279" s="30"/>
      <c r="F279" s="18" t="s">
        <v>98</v>
      </c>
      <c r="G279">
        <v>2</v>
      </c>
      <c r="H279" s="30"/>
      <c r="I279" s="5"/>
      <c r="J279" s="16"/>
      <c r="K279" s="5"/>
    </row>
    <row r="280" spans="1:11" x14ac:dyDescent="0.25">
      <c r="A280" t="s">
        <v>50</v>
      </c>
      <c r="B280" t="s">
        <v>51</v>
      </c>
      <c r="C280" s="32">
        <v>857</v>
      </c>
      <c r="D280" s="15">
        <v>930.78829913573441</v>
      </c>
      <c r="E280" s="30"/>
      <c r="F280" s="18" t="s">
        <v>98</v>
      </c>
      <c r="G280">
        <v>2</v>
      </c>
      <c r="H280" s="30"/>
      <c r="I280" s="5"/>
      <c r="J280" s="16"/>
      <c r="K280" s="5"/>
    </row>
    <row r="281" spans="1:11" x14ac:dyDescent="0.25">
      <c r="A281" t="s">
        <v>60</v>
      </c>
      <c r="B281" t="s">
        <v>61</v>
      </c>
      <c r="C281" s="32">
        <v>1127</v>
      </c>
      <c r="D281" s="15">
        <v>1224.7214462312295</v>
      </c>
      <c r="E281" s="30"/>
      <c r="F281" s="18" t="s">
        <v>99</v>
      </c>
      <c r="G281">
        <v>3</v>
      </c>
      <c r="H281" s="30"/>
      <c r="I281" s="5"/>
      <c r="J281" s="16"/>
      <c r="K281" s="5"/>
    </row>
    <row r="282" spans="1:11" x14ac:dyDescent="0.25">
      <c r="A282" t="s">
        <v>12</v>
      </c>
      <c r="B282" t="s">
        <v>13</v>
      </c>
      <c r="C282" s="32">
        <v>1398</v>
      </c>
      <c r="D282" s="15">
        <v>1518.6545933267246</v>
      </c>
      <c r="E282" s="30"/>
      <c r="F282" s="18" t="s">
        <v>98</v>
      </c>
      <c r="G282">
        <v>2</v>
      </c>
      <c r="H282" s="30"/>
      <c r="I282" s="5"/>
      <c r="J282" s="16"/>
      <c r="K282" s="5"/>
    </row>
    <row r="283" spans="1:11" x14ac:dyDescent="0.25">
      <c r="A283" t="s">
        <v>42</v>
      </c>
      <c r="B283" t="s">
        <v>43</v>
      </c>
      <c r="C283" s="32">
        <v>969</v>
      </c>
      <c r="D283" s="15">
        <v>1053.2604437588573</v>
      </c>
      <c r="E283" s="30"/>
      <c r="F283" s="18" t="s">
        <v>98</v>
      </c>
      <c r="G283">
        <v>1</v>
      </c>
      <c r="H283" s="30"/>
      <c r="I283" s="5"/>
      <c r="J283" s="16"/>
      <c r="K283" s="5"/>
    </row>
    <row r="284" spans="1:11" x14ac:dyDescent="0.25">
      <c r="A284" t="s">
        <v>80</v>
      </c>
      <c r="B284" t="s">
        <v>57</v>
      </c>
      <c r="C284" s="32">
        <v>969</v>
      </c>
      <c r="D284" s="15">
        <v>1053.2604437588573</v>
      </c>
      <c r="E284" s="30"/>
      <c r="F284" s="18" t="s">
        <v>99</v>
      </c>
      <c r="G284">
        <v>2</v>
      </c>
      <c r="H284" s="30"/>
      <c r="I284" s="5"/>
      <c r="J284" s="16"/>
      <c r="K284" s="5"/>
    </row>
    <row r="285" spans="1:11" x14ac:dyDescent="0.25">
      <c r="A285" t="s">
        <v>29</v>
      </c>
      <c r="B285" t="s">
        <v>30</v>
      </c>
      <c r="C285" s="32">
        <v>2254</v>
      </c>
      <c r="D285" s="15">
        <v>2449.442892462459</v>
      </c>
      <c r="E285" s="30"/>
      <c r="F285" s="18" t="s">
        <v>99</v>
      </c>
      <c r="G285">
        <v>2</v>
      </c>
      <c r="H285" s="30"/>
      <c r="I285" s="5"/>
      <c r="J285" s="16"/>
      <c r="K285" s="5"/>
    </row>
    <row r="286" spans="1:11" x14ac:dyDescent="0.25">
      <c r="A286" t="s">
        <v>76</v>
      </c>
      <c r="B286" t="s">
        <v>77</v>
      </c>
      <c r="C286" s="32">
        <v>969</v>
      </c>
      <c r="D286" s="15">
        <v>1053.2604437588573</v>
      </c>
      <c r="E286" s="30"/>
      <c r="F286" s="18" t="s">
        <v>99</v>
      </c>
      <c r="G286">
        <v>2</v>
      </c>
      <c r="H286" s="30"/>
      <c r="I286" s="5"/>
      <c r="J286" s="16"/>
      <c r="K286" s="5"/>
    </row>
    <row r="287" spans="1:11" x14ac:dyDescent="0.25">
      <c r="A287" t="s">
        <v>75</v>
      </c>
      <c r="B287" t="s">
        <v>21</v>
      </c>
      <c r="C287" s="32">
        <v>654</v>
      </c>
      <c r="D287" s="15">
        <v>710.33843881411303</v>
      </c>
      <c r="E287" s="30"/>
      <c r="F287" s="18" t="s">
        <v>99</v>
      </c>
      <c r="G287">
        <v>5</v>
      </c>
      <c r="H287" s="30"/>
      <c r="I287" s="5"/>
      <c r="J287" s="16"/>
      <c r="K287" s="5"/>
    </row>
    <row r="288" spans="1:11" x14ac:dyDescent="0.25">
      <c r="A288" t="s">
        <v>12</v>
      </c>
      <c r="B288" t="s">
        <v>86</v>
      </c>
      <c r="C288" s="32">
        <v>3043</v>
      </c>
      <c r="D288" s="15">
        <v>3306.7479048243194</v>
      </c>
      <c r="E288" s="30"/>
      <c r="F288" s="18" t="s">
        <v>99</v>
      </c>
      <c r="G288">
        <v>4</v>
      </c>
      <c r="H288" s="30"/>
      <c r="I288" s="5"/>
      <c r="J288" s="16"/>
      <c r="K288" s="5"/>
    </row>
    <row r="289" spans="1:11" x14ac:dyDescent="0.25">
      <c r="A289" t="s">
        <v>10</v>
      </c>
      <c r="B289" t="s">
        <v>11</v>
      </c>
      <c r="C289" s="32">
        <v>857</v>
      </c>
      <c r="D289" s="15">
        <v>930.78829913573441</v>
      </c>
      <c r="E289" s="30"/>
      <c r="F289" s="18" t="s">
        <v>99</v>
      </c>
      <c r="G289">
        <v>6</v>
      </c>
      <c r="H289" s="30"/>
      <c r="I289" s="5"/>
      <c r="J289" s="16"/>
      <c r="K289" s="5"/>
    </row>
    <row r="290" spans="1:11" x14ac:dyDescent="0.25">
      <c r="A290" t="s">
        <v>52</v>
      </c>
      <c r="B290" t="s">
        <v>53</v>
      </c>
      <c r="C290" s="32">
        <v>654</v>
      </c>
      <c r="D290" s="15">
        <v>710.33843881411303</v>
      </c>
      <c r="E290" s="30"/>
      <c r="F290" s="18" t="s">
        <v>99</v>
      </c>
      <c r="G290">
        <v>6</v>
      </c>
      <c r="H290" s="30"/>
      <c r="I290" s="5"/>
      <c r="J290" s="16"/>
      <c r="K290" s="5"/>
    </row>
    <row r="291" spans="1:11" x14ac:dyDescent="0.25">
      <c r="A291" t="s">
        <v>10</v>
      </c>
      <c r="B291" t="s">
        <v>11</v>
      </c>
      <c r="C291" s="32">
        <v>3607</v>
      </c>
      <c r="D291" s="15">
        <v>3919.1086279399342</v>
      </c>
      <c r="E291" s="30"/>
      <c r="F291" s="18" t="s">
        <v>99</v>
      </c>
      <c r="G291">
        <v>6</v>
      </c>
      <c r="H291" s="30"/>
      <c r="I291" s="5"/>
      <c r="J291" s="16"/>
      <c r="K291" s="5"/>
    </row>
    <row r="292" spans="1:11" x14ac:dyDescent="0.25">
      <c r="A292" t="s">
        <v>6</v>
      </c>
      <c r="B292" t="s">
        <v>7</v>
      </c>
      <c r="C292" s="32">
        <v>1014</v>
      </c>
      <c r="D292" s="15">
        <v>1102.2493016081064</v>
      </c>
      <c r="E292" s="30"/>
      <c r="F292" s="18" t="s">
        <v>99</v>
      </c>
      <c r="G292">
        <v>4</v>
      </c>
      <c r="H292" s="30"/>
      <c r="I292" s="5"/>
      <c r="J292" s="16"/>
      <c r="K292" s="5"/>
    </row>
    <row r="293" spans="1:11" x14ac:dyDescent="0.25">
      <c r="A293" t="s">
        <v>46</v>
      </c>
      <c r="B293" t="s">
        <v>47</v>
      </c>
      <c r="C293" s="32">
        <v>969</v>
      </c>
      <c r="D293" s="15">
        <v>1053.2604437588573</v>
      </c>
      <c r="E293" s="30"/>
      <c r="F293" s="18" t="s">
        <v>98</v>
      </c>
      <c r="G293">
        <v>6</v>
      </c>
      <c r="H293" s="30"/>
      <c r="I293" s="5"/>
      <c r="J293" s="16"/>
      <c r="K293" s="5"/>
    </row>
    <row r="294" spans="1:11" x14ac:dyDescent="0.25">
      <c r="A294" t="s">
        <v>33</v>
      </c>
      <c r="B294" t="s">
        <v>34</v>
      </c>
      <c r="C294" s="32">
        <v>924</v>
      </c>
      <c r="D294" s="15">
        <v>1004.2715859096081</v>
      </c>
      <c r="E294" s="30"/>
      <c r="F294" s="18" t="s">
        <v>99</v>
      </c>
      <c r="G294">
        <v>1</v>
      </c>
      <c r="H294" s="30"/>
      <c r="I294" s="5"/>
      <c r="J294" s="16"/>
      <c r="K294" s="5"/>
    </row>
    <row r="295" spans="1:11" x14ac:dyDescent="0.25">
      <c r="A295" t="s">
        <v>8</v>
      </c>
      <c r="B295" t="s">
        <v>9</v>
      </c>
      <c r="C295" s="32">
        <v>924</v>
      </c>
      <c r="D295" s="15">
        <v>1004.2715859096081</v>
      </c>
      <c r="E295" s="30"/>
      <c r="F295" s="18" t="s">
        <v>98</v>
      </c>
      <c r="G295">
        <v>5</v>
      </c>
      <c r="H295" s="30"/>
      <c r="I295" s="5"/>
      <c r="J295" s="16"/>
      <c r="K295" s="5"/>
    </row>
    <row r="296" spans="1:11" x14ac:dyDescent="0.25">
      <c r="A296" t="s">
        <v>4</v>
      </c>
      <c r="B296" t="s">
        <v>5</v>
      </c>
      <c r="C296" s="32">
        <v>924</v>
      </c>
      <c r="D296" s="15">
        <v>1004.2715859096081</v>
      </c>
      <c r="E296" s="30"/>
      <c r="F296" s="18" t="s">
        <v>99</v>
      </c>
      <c r="G296">
        <v>2</v>
      </c>
      <c r="H296" s="30"/>
      <c r="I296" s="5"/>
      <c r="J296" s="16"/>
      <c r="K296" s="5"/>
    </row>
    <row r="297" spans="1:11" x14ac:dyDescent="0.25">
      <c r="A297" t="s">
        <v>25</v>
      </c>
      <c r="B297" t="s">
        <v>24</v>
      </c>
      <c r="C297" s="32">
        <v>2006</v>
      </c>
      <c r="D297" s="15">
        <v>2180.0041742915882</v>
      </c>
      <c r="E297" s="30"/>
      <c r="F297" s="18" t="s">
        <v>98</v>
      </c>
      <c r="G297">
        <v>5</v>
      </c>
      <c r="H297" s="30"/>
      <c r="I297" s="5"/>
      <c r="J297" s="16"/>
      <c r="K297" s="5"/>
    </row>
    <row r="298" spans="1:11" x14ac:dyDescent="0.25">
      <c r="A298" t="s">
        <v>8</v>
      </c>
      <c r="B298" t="s">
        <v>9</v>
      </c>
      <c r="C298" s="32">
        <v>857</v>
      </c>
      <c r="D298" s="15">
        <v>930.78829913573441</v>
      </c>
      <c r="E298" s="30"/>
      <c r="F298" s="18" t="s">
        <v>99</v>
      </c>
      <c r="G298">
        <v>2</v>
      </c>
      <c r="H298" s="30"/>
      <c r="I298" s="5"/>
      <c r="J298" s="16"/>
      <c r="K298" s="5"/>
    </row>
    <row r="299" spans="1:11" x14ac:dyDescent="0.25">
      <c r="A299" t="s">
        <v>60</v>
      </c>
      <c r="B299" t="s">
        <v>61</v>
      </c>
      <c r="C299" s="32">
        <v>924</v>
      </c>
      <c r="D299" s="15">
        <v>1004.2715859096081</v>
      </c>
      <c r="E299" s="30"/>
      <c r="F299" s="18" t="s">
        <v>98</v>
      </c>
      <c r="G299">
        <v>3</v>
      </c>
      <c r="H299" s="30"/>
      <c r="I299" s="5"/>
      <c r="J299" s="16"/>
      <c r="K299" s="5"/>
    </row>
    <row r="300" spans="1:11" x14ac:dyDescent="0.25">
      <c r="A300" t="s">
        <v>82</v>
      </c>
      <c r="B300" t="s">
        <v>83</v>
      </c>
      <c r="C300" s="32">
        <v>2750</v>
      </c>
      <c r="D300" s="15">
        <v>2988.3203288042</v>
      </c>
      <c r="E300" s="30"/>
      <c r="F300" s="18" t="s">
        <v>98</v>
      </c>
      <c r="G300">
        <v>3</v>
      </c>
      <c r="H300" s="30"/>
      <c r="I300" s="5"/>
      <c r="J300" s="16"/>
      <c r="K300" s="5"/>
    </row>
    <row r="301" spans="1:11" x14ac:dyDescent="0.25">
      <c r="A301" t="s">
        <v>31</v>
      </c>
      <c r="B301" t="s">
        <v>32</v>
      </c>
      <c r="C301" s="32">
        <v>3471</v>
      </c>
      <c r="D301" s="15">
        <v>3772.1420543921868</v>
      </c>
      <c r="E301" s="30"/>
      <c r="F301" s="18" t="s">
        <v>99</v>
      </c>
      <c r="G301">
        <v>2</v>
      </c>
      <c r="H301" s="30"/>
      <c r="I301" s="5"/>
      <c r="J301" s="16"/>
      <c r="K301" s="5"/>
    </row>
    <row r="302" spans="1:11" x14ac:dyDescent="0.25">
      <c r="A302" t="s">
        <v>12</v>
      </c>
      <c r="B302" t="s">
        <v>13</v>
      </c>
      <c r="C302" s="32">
        <v>924</v>
      </c>
      <c r="D302" s="15">
        <v>1004.2715859096081</v>
      </c>
      <c r="E302" s="30"/>
      <c r="F302" s="18" t="s">
        <v>99</v>
      </c>
      <c r="G302">
        <v>3</v>
      </c>
      <c r="H302" s="30"/>
      <c r="I302" s="5"/>
      <c r="J302" s="16"/>
      <c r="K302" s="5"/>
    </row>
    <row r="303" spans="1:11" x14ac:dyDescent="0.25">
      <c r="A303" t="s">
        <v>6</v>
      </c>
      <c r="B303" t="s">
        <v>7</v>
      </c>
      <c r="C303" s="32">
        <v>857</v>
      </c>
      <c r="D303" s="15">
        <v>930.78829913573441</v>
      </c>
      <c r="E303" s="30"/>
      <c r="F303" s="18" t="s">
        <v>99</v>
      </c>
      <c r="G303">
        <v>1</v>
      </c>
      <c r="H303" s="30"/>
      <c r="I303" s="5"/>
      <c r="J303" s="16"/>
      <c r="K303" s="5"/>
    </row>
    <row r="304" spans="1:11" x14ac:dyDescent="0.25">
      <c r="A304" t="s">
        <v>20</v>
      </c>
      <c r="B304" t="s">
        <v>21</v>
      </c>
      <c r="C304" s="32">
        <v>969</v>
      </c>
      <c r="D304" s="15">
        <v>1053.2604437588573</v>
      </c>
      <c r="E304" s="30"/>
      <c r="F304" s="18" t="s">
        <v>98</v>
      </c>
      <c r="G304">
        <v>6</v>
      </c>
      <c r="H304" s="30"/>
      <c r="I304" s="5"/>
      <c r="J304" s="16"/>
      <c r="K304" s="5"/>
    </row>
    <row r="305" spans="1:11" x14ac:dyDescent="0.25">
      <c r="A305" t="s">
        <v>39</v>
      </c>
      <c r="B305" t="s">
        <v>30</v>
      </c>
      <c r="C305" s="32">
        <v>969</v>
      </c>
      <c r="D305" s="15">
        <v>1053.2604437588573</v>
      </c>
      <c r="E305" s="30"/>
      <c r="F305" s="18" t="s">
        <v>99</v>
      </c>
      <c r="G305">
        <v>1</v>
      </c>
      <c r="H305" s="30"/>
      <c r="I305" s="5"/>
      <c r="J305" s="16"/>
      <c r="K305" s="5"/>
    </row>
    <row r="306" spans="1:11" x14ac:dyDescent="0.25">
      <c r="A306" t="s">
        <v>8</v>
      </c>
      <c r="B306" t="s">
        <v>9</v>
      </c>
      <c r="C306" s="32">
        <v>654</v>
      </c>
      <c r="D306" s="15">
        <v>710.33843881411303</v>
      </c>
      <c r="E306" s="30"/>
      <c r="F306" s="18" t="s">
        <v>99</v>
      </c>
      <c r="G306">
        <v>6</v>
      </c>
      <c r="H306" s="30"/>
      <c r="I306" s="5"/>
      <c r="J306" s="16"/>
      <c r="K306" s="5"/>
    </row>
    <row r="307" spans="1:11" x14ac:dyDescent="0.25">
      <c r="A307" t="s">
        <v>56</v>
      </c>
      <c r="B307" t="s">
        <v>57</v>
      </c>
      <c r="C307" s="32">
        <v>1014</v>
      </c>
      <c r="D307" s="15">
        <v>1102.2493016081064</v>
      </c>
      <c r="E307" s="30"/>
      <c r="F307" s="18" t="s">
        <v>99</v>
      </c>
      <c r="G307">
        <v>4</v>
      </c>
      <c r="H307" s="30"/>
      <c r="I307" s="5"/>
      <c r="J307" s="16"/>
      <c r="K307" s="5"/>
    </row>
    <row r="308" spans="1:11" x14ac:dyDescent="0.25">
      <c r="A308" t="s">
        <v>82</v>
      </c>
      <c r="B308" t="s">
        <v>83</v>
      </c>
      <c r="C308" s="32">
        <v>924</v>
      </c>
      <c r="D308" s="15">
        <v>1004.2715859096081</v>
      </c>
      <c r="E308" s="30"/>
      <c r="F308" s="18" t="s">
        <v>98</v>
      </c>
      <c r="G308">
        <v>1</v>
      </c>
      <c r="H308" s="30"/>
      <c r="I308" s="5"/>
      <c r="J308" s="16"/>
      <c r="K308" s="5"/>
    </row>
    <row r="309" spans="1:11" x14ac:dyDescent="0.25">
      <c r="A309" t="s">
        <v>12</v>
      </c>
      <c r="B309" t="s">
        <v>24</v>
      </c>
      <c r="C309" s="32">
        <v>2750</v>
      </c>
      <c r="D309" s="15">
        <v>2988.3203288042</v>
      </c>
      <c r="E309" s="30"/>
      <c r="F309" s="18" t="s">
        <v>98</v>
      </c>
      <c r="G309">
        <v>6</v>
      </c>
      <c r="H309" s="30"/>
      <c r="I309" s="5"/>
      <c r="J309" s="16"/>
      <c r="K309" s="5"/>
    </row>
    <row r="310" spans="1:11" x14ac:dyDescent="0.25">
      <c r="A310" t="s">
        <v>6</v>
      </c>
      <c r="B310" t="s">
        <v>7</v>
      </c>
      <c r="C310" s="32">
        <v>1736</v>
      </c>
      <c r="D310" s="15">
        <v>1886.0710271960934</v>
      </c>
      <c r="E310" s="30"/>
      <c r="F310" s="18" t="s">
        <v>98</v>
      </c>
      <c r="G310">
        <v>3</v>
      </c>
      <c r="H310" s="30"/>
      <c r="I310" s="5"/>
      <c r="J310" s="16"/>
      <c r="K310" s="5"/>
    </row>
    <row r="311" spans="1:11" x14ac:dyDescent="0.25">
      <c r="A311" t="s">
        <v>82</v>
      </c>
      <c r="B311" t="s">
        <v>83</v>
      </c>
      <c r="C311" s="32">
        <v>857</v>
      </c>
      <c r="D311" s="15">
        <v>930.78829913573441</v>
      </c>
      <c r="E311" s="30"/>
      <c r="F311" s="18" t="s">
        <v>98</v>
      </c>
      <c r="G311">
        <v>6</v>
      </c>
      <c r="H311" s="30"/>
      <c r="I311" s="5"/>
      <c r="J311" s="16"/>
      <c r="K311" s="5"/>
    </row>
    <row r="312" spans="1:11" x14ac:dyDescent="0.25">
      <c r="A312" t="s">
        <v>62</v>
      </c>
      <c r="B312" t="s">
        <v>63</v>
      </c>
      <c r="C312" s="32">
        <v>1398</v>
      </c>
      <c r="D312" s="15">
        <v>1518.6545933267246</v>
      </c>
      <c r="E312" s="30"/>
      <c r="F312" s="18" t="s">
        <v>99</v>
      </c>
      <c r="G312">
        <v>6</v>
      </c>
      <c r="H312" s="30"/>
      <c r="I312" s="5"/>
      <c r="J312" s="16"/>
      <c r="K312" s="5"/>
    </row>
    <row r="313" spans="1:11" x14ac:dyDescent="0.25">
      <c r="A313" t="s">
        <v>81</v>
      </c>
      <c r="B313" t="s">
        <v>23</v>
      </c>
      <c r="C313" s="32">
        <v>924</v>
      </c>
      <c r="D313" s="15">
        <v>1004.2715859096081</v>
      </c>
      <c r="E313" s="30"/>
      <c r="F313" s="18" t="s">
        <v>99</v>
      </c>
      <c r="G313">
        <v>2</v>
      </c>
      <c r="H313" s="30"/>
      <c r="I313" s="5"/>
      <c r="J313" s="16"/>
      <c r="K313" s="5"/>
    </row>
    <row r="314" spans="1:11" x14ac:dyDescent="0.25">
      <c r="A314" t="s">
        <v>14</v>
      </c>
      <c r="B314" t="s">
        <v>15</v>
      </c>
      <c r="C314" s="32">
        <v>924</v>
      </c>
      <c r="D314" s="15">
        <v>1004.2715859096081</v>
      </c>
      <c r="E314" s="30"/>
      <c r="F314" s="18" t="s">
        <v>98</v>
      </c>
      <c r="G314">
        <v>2</v>
      </c>
      <c r="H314" s="30"/>
      <c r="I314" s="5"/>
      <c r="J314" s="16"/>
      <c r="K314" s="5"/>
    </row>
    <row r="315" spans="1:11" x14ac:dyDescent="0.25">
      <c r="A315" t="s">
        <v>64</v>
      </c>
      <c r="B315" t="s">
        <v>65</v>
      </c>
      <c r="C315" s="32">
        <v>2006</v>
      </c>
      <c r="D315" s="15">
        <v>2180.0041742915882</v>
      </c>
      <c r="E315" s="30"/>
      <c r="F315" s="18" t="s">
        <v>98</v>
      </c>
      <c r="G315">
        <v>5</v>
      </c>
      <c r="H315" s="30"/>
      <c r="I315" s="5"/>
      <c r="J315" s="16"/>
      <c r="K315" s="5"/>
    </row>
    <row r="316" spans="1:11" x14ac:dyDescent="0.25">
      <c r="A316" t="s">
        <v>58</v>
      </c>
      <c r="B316" t="s">
        <v>59</v>
      </c>
      <c r="C316" s="32">
        <v>1127</v>
      </c>
      <c r="D316" s="15">
        <v>1224.7214462312295</v>
      </c>
      <c r="E316" s="30"/>
      <c r="F316" s="18" t="s">
        <v>99</v>
      </c>
      <c r="G316">
        <v>6</v>
      </c>
      <c r="H316" s="30"/>
      <c r="I316" s="5"/>
      <c r="J316" s="16"/>
      <c r="K316" s="5"/>
    </row>
    <row r="317" spans="1:11" x14ac:dyDescent="0.25">
      <c r="A317" t="s">
        <v>12</v>
      </c>
      <c r="B317" t="s">
        <v>86</v>
      </c>
      <c r="C317" s="32">
        <v>3471</v>
      </c>
      <c r="D317" s="15">
        <v>3772.1420543921868</v>
      </c>
      <c r="E317" s="30"/>
      <c r="F317" s="18" t="s">
        <v>99</v>
      </c>
      <c r="G317">
        <v>3</v>
      </c>
      <c r="H317" s="30"/>
      <c r="I317" s="5"/>
      <c r="J317" s="16"/>
      <c r="K317" s="5"/>
    </row>
    <row r="318" spans="1:11" x14ac:dyDescent="0.25">
      <c r="A318" t="s">
        <v>16</v>
      </c>
      <c r="B318" t="s">
        <v>17</v>
      </c>
      <c r="C318" s="32">
        <v>2006</v>
      </c>
      <c r="D318" s="15">
        <v>2180.0041742915882</v>
      </c>
      <c r="E318" s="30"/>
      <c r="F318" s="18" t="s">
        <v>99</v>
      </c>
      <c r="G318">
        <v>3</v>
      </c>
      <c r="H318" s="30"/>
      <c r="I318" s="5"/>
      <c r="J318" s="16"/>
      <c r="K318" s="5"/>
    </row>
    <row r="319" spans="1:11" x14ac:dyDescent="0.25">
      <c r="A319" t="s">
        <v>14</v>
      </c>
      <c r="B319" t="s">
        <v>15</v>
      </c>
      <c r="C319" s="32">
        <v>766</v>
      </c>
      <c r="D319" s="15">
        <v>832.81058343723601</v>
      </c>
      <c r="E319" s="30"/>
      <c r="F319" s="18" t="s">
        <v>98</v>
      </c>
      <c r="G319">
        <v>4</v>
      </c>
      <c r="H319" s="30"/>
      <c r="I319" s="5"/>
      <c r="J319" s="16"/>
      <c r="K319" s="5"/>
    </row>
    <row r="320" spans="1:11" x14ac:dyDescent="0.25">
      <c r="A320" t="s">
        <v>12</v>
      </c>
      <c r="B320" t="s">
        <v>3</v>
      </c>
      <c r="C320" s="32">
        <v>5252</v>
      </c>
      <c r="D320" s="15">
        <v>5707.2019394375293</v>
      </c>
      <c r="E320" s="30"/>
      <c r="F320" s="18" t="s">
        <v>98</v>
      </c>
      <c r="G320">
        <v>5</v>
      </c>
      <c r="H320" s="30"/>
      <c r="I320" s="5"/>
      <c r="J320" s="16"/>
      <c r="K320" s="5"/>
    </row>
    <row r="321" spans="1:11" x14ac:dyDescent="0.25">
      <c r="A321" t="s">
        <v>64</v>
      </c>
      <c r="B321" t="s">
        <v>65</v>
      </c>
      <c r="C321" s="32">
        <v>969</v>
      </c>
      <c r="D321" s="15">
        <v>1053.2604437588573</v>
      </c>
      <c r="E321" s="30"/>
      <c r="F321" s="18" t="s">
        <v>99</v>
      </c>
      <c r="G321">
        <v>1</v>
      </c>
      <c r="H321" s="30"/>
      <c r="I321" s="5"/>
      <c r="J321" s="16"/>
      <c r="K321" s="5"/>
    </row>
    <row r="322" spans="1:11" x14ac:dyDescent="0.25">
      <c r="A322" t="s">
        <v>18</v>
      </c>
      <c r="B322" t="s">
        <v>19</v>
      </c>
      <c r="C322" s="32">
        <v>1037</v>
      </c>
      <c r="D322" s="15">
        <v>1126.743730532731</v>
      </c>
      <c r="E322" s="30"/>
      <c r="F322" s="18" t="s">
        <v>99</v>
      </c>
      <c r="G322">
        <v>1</v>
      </c>
      <c r="H322" s="30"/>
      <c r="I322" s="5"/>
      <c r="J322" s="16"/>
      <c r="K322" s="5"/>
    </row>
    <row r="323" spans="1:11" x14ac:dyDescent="0.25">
      <c r="A323" t="s">
        <v>29</v>
      </c>
      <c r="B323" t="s">
        <v>30</v>
      </c>
      <c r="C323" s="32">
        <v>2750</v>
      </c>
      <c r="D323" s="15">
        <v>2988.3203288042</v>
      </c>
      <c r="E323" s="30"/>
      <c r="F323" s="18" t="s">
        <v>99</v>
      </c>
      <c r="G323">
        <v>5</v>
      </c>
      <c r="H323" s="30"/>
      <c r="I323" s="5"/>
      <c r="J323" s="16"/>
      <c r="K323" s="5"/>
    </row>
    <row r="324" spans="1:11" x14ac:dyDescent="0.25">
      <c r="A324" t="s">
        <v>69</v>
      </c>
      <c r="B324" t="s">
        <v>70</v>
      </c>
      <c r="C324" s="32">
        <v>766</v>
      </c>
      <c r="D324" s="15">
        <v>832.81058343723601</v>
      </c>
      <c r="E324" s="30"/>
      <c r="F324" s="18" t="s">
        <v>98</v>
      </c>
      <c r="G324">
        <v>1</v>
      </c>
      <c r="H324" s="30"/>
      <c r="I324" s="5"/>
      <c r="J324" s="16"/>
      <c r="K324" s="5"/>
    </row>
    <row r="325" spans="1:11" x14ac:dyDescent="0.25">
      <c r="A325" t="s">
        <v>12</v>
      </c>
      <c r="B325" t="s">
        <v>13</v>
      </c>
      <c r="C325" s="32">
        <v>924</v>
      </c>
      <c r="D325" s="15">
        <v>1004.2715859096081</v>
      </c>
      <c r="E325" s="30"/>
      <c r="F325" s="18" t="s">
        <v>98</v>
      </c>
      <c r="G325">
        <v>1</v>
      </c>
      <c r="H325" s="30"/>
      <c r="I325" s="5"/>
      <c r="J325" s="16"/>
      <c r="K325" s="5"/>
    </row>
    <row r="326" spans="1:11" x14ac:dyDescent="0.25">
      <c r="A326" t="s">
        <v>76</v>
      </c>
      <c r="B326" t="s">
        <v>77</v>
      </c>
      <c r="C326" s="32">
        <v>1736</v>
      </c>
      <c r="D326" s="15">
        <v>1886.0710271960934</v>
      </c>
      <c r="E326" s="30"/>
      <c r="F326" s="18" t="s">
        <v>99</v>
      </c>
      <c r="G326">
        <v>2</v>
      </c>
      <c r="H326" s="30"/>
      <c r="I326" s="5"/>
      <c r="J326" s="16"/>
      <c r="K326" s="5"/>
    </row>
    <row r="327" spans="1:11" x14ac:dyDescent="0.25">
      <c r="A327" t="s">
        <v>73</v>
      </c>
      <c r="B327" t="s">
        <v>74</v>
      </c>
      <c r="C327" s="32">
        <v>1736</v>
      </c>
      <c r="D327" s="15">
        <v>1886.0710271960934</v>
      </c>
      <c r="E327" s="30"/>
      <c r="F327" s="18" t="s">
        <v>98</v>
      </c>
      <c r="G327">
        <v>2</v>
      </c>
      <c r="H327" s="30"/>
      <c r="I327" s="5"/>
      <c r="J327" s="16"/>
      <c r="K327" s="5"/>
    </row>
    <row r="328" spans="1:11" x14ac:dyDescent="0.25">
      <c r="A328" t="s">
        <v>10</v>
      </c>
      <c r="B328" t="s">
        <v>11</v>
      </c>
      <c r="C328" s="32">
        <v>3607</v>
      </c>
      <c r="D328" s="15">
        <v>3919.1086279399342</v>
      </c>
      <c r="E328" s="30"/>
      <c r="F328" s="18" t="s">
        <v>99</v>
      </c>
      <c r="G328">
        <v>4</v>
      </c>
      <c r="H328" s="30"/>
      <c r="I328" s="5"/>
      <c r="J328" s="16"/>
      <c r="K328" s="5"/>
    </row>
    <row r="329" spans="1:11" x14ac:dyDescent="0.25">
      <c r="A329" t="s">
        <v>12</v>
      </c>
      <c r="B329" t="s">
        <v>13</v>
      </c>
      <c r="C329" s="32">
        <v>3291</v>
      </c>
      <c r="D329" s="15">
        <v>3576.1866229951897</v>
      </c>
      <c r="E329" s="30"/>
      <c r="F329" s="18" t="s">
        <v>98</v>
      </c>
      <c r="G329">
        <v>1</v>
      </c>
      <c r="H329" s="30"/>
      <c r="I329" s="5"/>
      <c r="J329" s="16"/>
      <c r="K329" s="5"/>
    </row>
    <row r="330" spans="1:11" x14ac:dyDescent="0.25">
      <c r="A330" t="s">
        <v>12</v>
      </c>
      <c r="B330" t="s">
        <v>24</v>
      </c>
      <c r="C330" s="32">
        <v>654</v>
      </c>
      <c r="D330" s="15">
        <v>710.33843881411303</v>
      </c>
      <c r="E330" s="30"/>
      <c r="F330" s="18" t="s">
        <v>98</v>
      </c>
      <c r="G330">
        <v>6</v>
      </c>
      <c r="H330" s="30"/>
      <c r="I330" s="5"/>
      <c r="J330" s="16"/>
      <c r="K330" s="5"/>
    </row>
    <row r="331" spans="1:11" x14ac:dyDescent="0.25">
      <c r="A331" t="s">
        <v>31</v>
      </c>
      <c r="B331" t="s">
        <v>32</v>
      </c>
      <c r="C331" s="32">
        <v>3471</v>
      </c>
      <c r="D331" s="15">
        <v>3772.1420543921868</v>
      </c>
      <c r="E331" s="30"/>
      <c r="F331" s="18" t="s">
        <v>98</v>
      </c>
      <c r="G331">
        <v>6</v>
      </c>
      <c r="H331" s="30"/>
      <c r="I331" s="5"/>
      <c r="J331" s="16"/>
      <c r="K331" s="5"/>
    </row>
    <row r="332" spans="1:11" x14ac:dyDescent="0.25">
      <c r="A332" t="s">
        <v>29</v>
      </c>
      <c r="B332" t="s">
        <v>30</v>
      </c>
      <c r="C332" s="32">
        <v>3607</v>
      </c>
      <c r="D332" s="15">
        <v>3919.1086279399342</v>
      </c>
      <c r="E332" s="30"/>
      <c r="F332" s="18" t="s">
        <v>99</v>
      </c>
      <c r="G332">
        <v>2</v>
      </c>
      <c r="H332" s="30"/>
      <c r="I332" s="5"/>
      <c r="J332" s="16"/>
      <c r="K332" s="5"/>
    </row>
    <row r="333" spans="1:11" x14ac:dyDescent="0.25">
      <c r="A333" t="s">
        <v>14</v>
      </c>
      <c r="B333" t="s">
        <v>15</v>
      </c>
      <c r="C333" s="32">
        <v>1014</v>
      </c>
      <c r="D333" s="15">
        <v>1102.2493016081064</v>
      </c>
      <c r="E333" s="30"/>
      <c r="F333" s="18" t="s">
        <v>99</v>
      </c>
      <c r="G333">
        <v>3</v>
      </c>
      <c r="H333" s="30"/>
      <c r="I333" s="5"/>
      <c r="J333" s="16"/>
      <c r="K333" s="5"/>
    </row>
    <row r="334" spans="1:11" x14ac:dyDescent="0.25">
      <c r="A334" t="s">
        <v>12</v>
      </c>
      <c r="B334" t="s">
        <v>24</v>
      </c>
      <c r="C334" s="32">
        <v>766</v>
      </c>
      <c r="D334" s="15">
        <v>832.81058343723601</v>
      </c>
      <c r="E334" s="30"/>
      <c r="F334" s="18" t="s">
        <v>98</v>
      </c>
      <c r="G334">
        <v>6</v>
      </c>
      <c r="H334" s="30"/>
      <c r="I334" s="5"/>
      <c r="J334" s="16"/>
      <c r="K334" s="5"/>
    </row>
    <row r="335" spans="1:11" x14ac:dyDescent="0.25">
      <c r="A335" t="s">
        <v>69</v>
      </c>
      <c r="B335" t="s">
        <v>70</v>
      </c>
      <c r="C335" s="32">
        <v>766</v>
      </c>
      <c r="D335" s="15">
        <v>832.81058343723601</v>
      </c>
      <c r="E335" s="30"/>
      <c r="F335" s="18" t="s">
        <v>98</v>
      </c>
      <c r="G335">
        <v>3</v>
      </c>
      <c r="H335" s="30"/>
      <c r="I335" s="5"/>
      <c r="J335" s="16"/>
      <c r="K335" s="5"/>
    </row>
    <row r="336" spans="1:11" x14ac:dyDescent="0.25">
      <c r="A336" t="s">
        <v>44</v>
      </c>
      <c r="B336" t="s">
        <v>45</v>
      </c>
      <c r="C336" s="32">
        <v>1014</v>
      </c>
      <c r="D336" s="15">
        <v>1102.2493016081064</v>
      </c>
      <c r="E336" s="30"/>
      <c r="F336" s="18" t="s">
        <v>99</v>
      </c>
      <c r="G336">
        <v>2</v>
      </c>
      <c r="H336" s="30"/>
      <c r="I336" s="5"/>
      <c r="J336" s="16"/>
      <c r="K336" s="5"/>
    </row>
    <row r="337" spans="1:11" x14ac:dyDescent="0.25">
      <c r="A337" t="s">
        <v>4</v>
      </c>
      <c r="B337" t="s">
        <v>5</v>
      </c>
      <c r="C337" s="32">
        <v>654</v>
      </c>
      <c r="D337" s="15">
        <v>710.33843881411303</v>
      </c>
      <c r="E337" s="30"/>
      <c r="F337" s="18" t="s">
        <v>99</v>
      </c>
      <c r="G337">
        <v>5</v>
      </c>
      <c r="H337" s="30"/>
      <c r="I337" s="5"/>
      <c r="J337" s="16"/>
      <c r="K337" s="5"/>
    </row>
    <row r="338" spans="1:11" x14ac:dyDescent="0.25">
      <c r="A338" t="s">
        <v>44</v>
      </c>
      <c r="B338" t="s">
        <v>45</v>
      </c>
      <c r="C338" s="32">
        <v>654</v>
      </c>
      <c r="D338" s="15">
        <v>710.33843881411303</v>
      </c>
      <c r="E338" s="30"/>
      <c r="F338" s="18" t="s">
        <v>98</v>
      </c>
      <c r="G338">
        <v>4</v>
      </c>
      <c r="H338" s="30"/>
      <c r="I338" s="5"/>
      <c r="J338" s="16"/>
      <c r="K338" s="5"/>
    </row>
    <row r="339" spans="1:11" x14ac:dyDescent="0.25">
      <c r="A339" t="s">
        <v>12</v>
      </c>
      <c r="B339" t="s">
        <v>86</v>
      </c>
      <c r="C339" s="32">
        <v>654</v>
      </c>
      <c r="D339" s="15">
        <v>710.33843881411303</v>
      </c>
      <c r="E339" s="30"/>
      <c r="F339" s="18" t="s">
        <v>98</v>
      </c>
      <c r="G339">
        <v>1</v>
      </c>
      <c r="H339" s="30"/>
      <c r="I339" s="5"/>
      <c r="J339" s="16"/>
      <c r="K339" s="5"/>
    </row>
    <row r="340" spans="1:11" x14ac:dyDescent="0.25">
      <c r="A340" t="s">
        <v>29</v>
      </c>
      <c r="B340" t="s">
        <v>30</v>
      </c>
      <c r="C340" s="32">
        <v>947</v>
      </c>
      <c r="D340" s="15">
        <v>1028.7660148342327</v>
      </c>
      <c r="E340" s="30"/>
      <c r="F340" s="18" t="s">
        <v>99</v>
      </c>
      <c r="G340">
        <v>2</v>
      </c>
      <c r="H340" s="30"/>
      <c r="I340" s="5"/>
      <c r="J340" s="16"/>
      <c r="K340" s="5"/>
    </row>
    <row r="341" spans="1:11" x14ac:dyDescent="0.25">
      <c r="A341" t="s">
        <v>6</v>
      </c>
      <c r="B341" t="s">
        <v>7</v>
      </c>
      <c r="C341" s="32">
        <v>3471</v>
      </c>
      <c r="D341" s="15">
        <v>3772.1420543921868</v>
      </c>
      <c r="E341" s="30"/>
      <c r="F341" s="18" t="s">
        <v>99</v>
      </c>
      <c r="G341">
        <v>3</v>
      </c>
      <c r="H341" s="30"/>
      <c r="I341" s="5"/>
      <c r="J341" s="16"/>
      <c r="K341" s="5"/>
    </row>
    <row r="342" spans="1:11" x14ac:dyDescent="0.25">
      <c r="A342" t="s">
        <v>69</v>
      </c>
      <c r="B342" t="s">
        <v>70</v>
      </c>
      <c r="C342" s="32">
        <v>969</v>
      </c>
      <c r="D342" s="15">
        <v>1053.2604437588573</v>
      </c>
      <c r="E342" s="30"/>
      <c r="F342" s="18" t="s">
        <v>99</v>
      </c>
      <c r="G342">
        <v>4</v>
      </c>
      <c r="H342" s="30"/>
      <c r="I342" s="5"/>
      <c r="J342" s="16"/>
      <c r="K342" s="5"/>
    </row>
    <row r="343" spans="1:11" x14ac:dyDescent="0.25">
      <c r="A343" t="s">
        <v>29</v>
      </c>
      <c r="B343" t="s">
        <v>9</v>
      </c>
      <c r="C343" s="32">
        <v>654</v>
      </c>
      <c r="D343" s="15">
        <v>710.33843881411303</v>
      </c>
      <c r="E343" s="30"/>
      <c r="F343" s="18" t="s">
        <v>98</v>
      </c>
      <c r="G343">
        <v>5</v>
      </c>
      <c r="H343" s="30"/>
      <c r="I343" s="5"/>
      <c r="J343" s="16"/>
      <c r="K343" s="5"/>
    </row>
    <row r="344" spans="1:11" x14ac:dyDescent="0.25">
      <c r="A344" t="s">
        <v>14</v>
      </c>
      <c r="B344" t="s">
        <v>15</v>
      </c>
      <c r="C344" s="32">
        <v>5635</v>
      </c>
      <c r="D344" s="15">
        <v>6123.6072311561475</v>
      </c>
      <c r="E344" s="30"/>
      <c r="F344" s="18" t="s">
        <v>98</v>
      </c>
      <c r="G344">
        <v>2</v>
      </c>
      <c r="H344" s="30"/>
      <c r="I344" s="5"/>
      <c r="J344" s="16"/>
      <c r="K344" s="5"/>
    </row>
    <row r="345" spans="1:11" x14ac:dyDescent="0.25">
      <c r="A345" t="s">
        <v>54</v>
      </c>
      <c r="B345" t="s">
        <v>55</v>
      </c>
      <c r="C345" s="32">
        <v>3043</v>
      </c>
      <c r="D345" s="15">
        <v>3306.7479048243194</v>
      </c>
      <c r="E345" s="30"/>
      <c r="F345" s="18" t="s">
        <v>98</v>
      </c>
      <c r="G345">
        <v>5</v>
      </c>
      <c r="H345" s="30"/>
      <c r="I345" s="5"/>
      <c r="J345" s="16"/>
      <c r="K345" s="5"/>
    </row>
    <row r="346" spans="1:11" x14ac:dyDescent="0.25">
      <c r="A346" t="s">
        <v>60</v>
      </c>
      <c r="B346" t="s">
        <v>61</v>
      </c>
      <c r="C346" s="32">
        <v>5252</v>
      </c>
      <c r="D346" s="15">
        <v>5707.2019394375293</v>
      </c>
      <c r="E346" s="30"/>
      <c r="F346" s="18" t="s">
        <v>98</v>
      </c>
      <c r="G346">
        <v>3</v>
      </c>
      <c r="H346" s="30"/>
      <c r="I346" s="5"/>
      <c r="J346" s="16"/>
      <c r="K346" s="5"/>
    </row>
    <row r="347" spans="1:11" x14ac:dyDescent="0.25">
      <c r="A347" t="s">
        <v>12</v>
      </c>
      <c r="B347" t="s">
        <v>13</v>
      </c>
      <c r="C347" s="32">
        <v>924</v>
      </c>
      <c r="D347" s="15">
        <v>1004.2715859096081</v>
      </c>
      <c r="E347" s="30"/>
      <c r="F347" s="18" t="s">
        <v>99</v>
      </c>
      <c r="G347">
        <v>2</v>
      </c>
      <c r="H347" s="30"/>
      <c r="I347" s="5"/>
      <c r="J347" s="16"/>
      <c r="K347" s="5"/>
    </row>
    <row r="348" spans="1:11" x14ac:dyDescent="0.25">
      <c r="A348" t="s">
        <v>75</v>
      </c>
      <c r="B348" t="s">
        <v>21</v>
      </c>
      <c r="C348" s="32">
        <v>857</v>
      </c>
      <c r="D348" s="15">
        <v>930.78829913573441</v>
      </c>
      <c r="E348" s="30"/>
      <c r="F348" s="18" t="s">
        <v>98</v>
      </c>
      <c r="G348">
        <v>3</v>
      </c>
      <c r="H348" s="30"/>
      <c r="I348" s="5"/>
      <c r="J348" s="16"/>
      <c r="K348" s="5"/>
    </row>
    <row r="349" spans="1:11" x14ac:dyDescent="0.25">
      <c r="A349" t="s">
        <v>67</v>
      </c>
      <c r="B349" t="s">
        <v>68</v>
      </c>
      <c r="C349" s="32">
        <v>857</v>
      </c>
      <c r="D349" s="15">
        <v>930.78829913573441</v>
      </c>
      <c r="E349" s="30"/>
      <c r="F349" s="18" t="s">
        <v>99</v>
      </c>
      <c r="G349">
        <v>4</v>
      </c>
      <c r="H349" s="30"/>
      <c r="I349" s="5"/>
      <c r="J349" s="16"/>
      <c r="K349" s="5"/>
    </row>
    <row r="350" spans="1:11" x14ac:dyDescent="0.25">
      <c r="A350" t="s">
        <v>50</v>
      </c>
      <c r="B350" t="s">
        <v>51</v>
      </c>
      <c r="C350" s="32">
        <v>654</v>
      </c>
      <c r="D350" s="15">
        <v>710.33843881411303</v>
      </c>
      <c r="E350" s="30"/>
      <c r="F350" s="18" t="s">
        <v>99</v>
      </c>
      <c r="G350">
        <v>1</v>
      </c>
      <c r="H350" s="30"/>
      <c r="I350" s="5"/>
      <c r="J350" s="16"/>
      <c r="K350" s="5"/>
    </row>
    <row r="351" spans="1:11" x14ac:dyDescent="0.25">
      <c r="A351" t="s">
        <v>29</v>
      </c>
      <c r="B351" t="s">
        <v>9</v>
      </c>
      <c r="C351" s="32">
        <v>654</v>
      </c>
      <c r="D351" s="15">
        <v>710.33843881411303</v>
      </c>
      <c r="E351" s="30"/>
      <c r="F351" s="18" t="s">
        <v>98</v>
      </c>
      <c r="G351">
        <v>6</v>
      </c>
      <c r="H351" s="30"/>
      <c r="I351" s="5"/>
      <c r="J351" s="16"/>
      <c r="K351" s="5"/>
    </row>
    <row r="352" spans="1:11" x14ac:dyDescent="0.25">
      <c r="A352" t="s">
        <v>66</v>
      </c>
      <c r="B352" t="s">
        <v>13</v>
      </c>
      <c r="C352" s="32">
        <v>1014</v>
      </c>
      <c r="D352" s="15">
        <v>1102.2493016081064</v>
      </c>
      <c r="E352" s="30"/>
      <c r="F352" s="18" t="s">
        <v>99</v>
      </c>
      <c r="G352">
        <v>3</v>
      </c>
      <c r="H352" s="30"/>
      <c r="I352" s="5"/>
      <c r="J352" s="16"/>
      <c r="K352" s="5"/>
    </row>
    <row r="353" spans="1:11" x14ac:dyDescent="0.25">
      <c r="A353" t="s">
        <v>31</v>
      </c>
      <c r="B353" t="s">
        <v>32</v>
      </c>
      <c r="C353" s="32">
        <v>857</v>
      </c>
      <c r="D353" s="15">
        <v>930.78829913573441</v>
      </c>
      <c r="E353" s="30"/>
      <c r="F353" s="18" t="s">
        <v>99</v>
      </c>
      <c r="G353">
        <v>2</v>
      </c>
      <c r="H353" s="30"/>
      <c r="I353" s="5"/>
      <c r="J353" s="16"/>
      <c r="K353" s="5"/>
    </row>
    <row r="354" spans="1:11" x14ac:dyDescent="0.25">
      <c r="A354" t="s">
        <v>78</v>
      </c>
      <c r="B354" t="s">
        <v>63</v>
      </c>
      <c r="C354" s="32">
        <v>2750</v>
      </c>
      <c r="D354" s="15">
        <v>2988.3203288042</v>
      </c>
      <c r="E354" s="30"/>
      <c r="F354" s="18" t="s">
        <v>99</v>
      </c>
      <c r="G354">
        <v>5</v>
      </c>
      <c r="H354" s="30"/>
      <c r="I354" s="5"/>
      <c r="J354" s="16"/>
      <c r="K354" s="5"/>
    </row>
    <row r="355" spans="1:11" x14ac:dyDescent="0.25">
      <c r="A355" t="s">
        <v>16</v>
      </c>
      <c r="B355" t="s">
        <v>17</v>
      </c>
      <c r="C355" s="32">
        <v>1398</v>
      </c>
      <c r="D355" s="15">
        <v>1518.6545933267246</v>
      </c>
      <c r="E355" s="30"/>
      <c r="F355" s="18" t="s">
        <v>99</v>
      </c>
      <c r="G355">
        <v>1</v>
      </c>
      <c r="H355" s="30"/>
      <c r="I355" s="5"/>
      <c r="J355" s="16"/>
      <c r="K355" s="5"/>
    </row>
    <row r="356" spans="1:11" x14ac:dyDescent="0.25">
      <c r="A356" t="s">
        <v>20</v>
      </c>
      <c r="B356" t="s">
        <v>21</v>
      </c>
      <c r="C356" s="32">
        <v>6312</v>
      </c>
      <c r="D356" s="15">
        <v>6858.4400988948846</v>
      </c>
      <c r="E356" s="30"/>
      <c r="F356" s="18" t="s">
        <v>99</v>
      </c>
      <c r="G356">
        <v>2</v>
      </c>
      <c r="H356" s="30"/>
      <c r="I356" s="5"/>
      <c r="J356" s="16"/>
      <c r="K356" s="5"/>
    </row>
    <row r="357" spans="1:11" x14ac:dyDescent="0.25">
      <c r="A357" t="s">
        <v>12</v>
      </c>
      <c r="B357" t="s">
        <v>24</v>
      </c>
      <c r="C357" s="32">
        <v>1398</v>
      </c>
      <c r="D357" s="15">
        <v>1518.6545933267246</v>
      </c>
      <c r="E357" s="30"/>
      <c r="F357" s="18" t="s">
        <v>99</v>
      </c>
      <c r="G357">
        <v>2</v>
      </c>
      <c r="H357" s="30"/>
      <c r="I357" s="5"/>
      <c r="J357" s="16"/>
      <c r="K357" s="5"/>
    </row>
    <row r="358" spans="1:11" x14ac:dyDescent="0.25">
      <c r="A358" t="s">
        <v>80</v>
      </c>
      <c r="B358" t="s">
        <v>57</v>
      </c>
      <c r="C358" s="32">
        <v>969</v>
      </c>
      <c r="D358" s="15">
        <v>1053.2604437588573</v>
      </c>
      <c r="E358" s="30"/>
      <c r="F358" s="18" t="s">
        <v>99</v>
      </c>
      <c r="G358">
        <v>1</v>
      </c>
      <c r="H358" s="30"/>
      <c r="I358" s="5"/>
      <c r="J358" s="16"/>
      <c r="K358" s="5"/>
    </row>
    <row r="359" spans="1:11" x14ac:dyDescent="0.25">
      <c r="A359" t="s">
        <v>42</v>
      </c>
      <c r="B359" t="s">
        <v>43</v>
      </c>
      <c r="C359" s="32">
        <v>654</v>
      </c>
      <c r="D359" s="15">
        <v>710.33843881411303</v>
      </c>
      <c r="E359" s="30"/>
      <c r="F359" s="18" t="s">
        <v>99</v>
      </c>
      <c r="G359">
        <v>6</v>
      </c>
      <c r="H359" s="30"/>
      <c r="I359" s="5"/>
      <c r="J359" s="16"/>
      <c r="K359" s="5"/>
    </row>
    <row r="360" spans="1:11" x14ac:dyDescent="0.25">
      <c r="A360" t="s">
        <v>18</v>
      </c>
      <c r="B360" t="s">
        <v>19</v>
      </c>
      <c r="C360" s="32">
        <v>3043</v>
      </c>
      <c r="D360" s="15">
        <v>3306.7479048243194</v>
      </c>
      <c r="E360" s="30"/>
      <c r="F360" s="18" t="s">
        <v>99</v>
      </c>
      <c r="G360">
        <v>2</v>
      </c>
      <c r="H360" s="30"/>
      <c r="I360" s="5"/>
      <c r="J360" s="16"/>
      <c r="K360" s="5"/>
    </row>
    <row r="361" spans="1:11" x14ac:dyDescent="0.25">
      <c r="A361" t="s">
        <v>40</v>
      </c>
      <c r="B361" t="s">
        <v>41</v>
      </c>
      <c r="C361" s="32">
        <v>924</v>
      </c>
      <c r="D361" s="15">
        <v>1004.2715859096081</v>
      </c>
      <c r="E361" s="30"/>
      <c r="F361" s="18" t="s">
        <v>98</v>
      </c>
      <c r="G361">
        <v>2</v>
      </c>
      <c r="H361" s="30"/>
      <c r="I361" s="5"/>
      <c r="J361" s="16"/>
      <c r="K361" s="5"/>
    </row>
    <row r="362" spans="1:11" x14ac:dyDescent="0.25">
      <c r="A362" t="s">
        <v>64</v>
      </c>
      <c r="B362" t="s">
        <v>65</v>
      </c>
      <c r="C362" s="32">
        <v>1037</v>
      </c>
      <c r="D362" s="15">
        <v>1126.743730532731</v>
      </c>
      <c r="E362" s="30"/>
      <c r="F362" s="18" t="s">
        <v>98</v>
      </c>
      <c r="G362">
        <v>2</v>
      </c>
      <c r="H362" s="30"/>
      <c r="I362" s="5"/>
      <c r="J362" s="16"/>
      <c r="K362" s="5"/>
    </row>
    <row r="363" spans="1:11" x14ac:dyDescent="0.25">
      <c r="A363" t="s">
        <v>54</v>
      </c>
      <c r="B363" t="s">
        <v>55</v>
      </c>
      <c r="C363" s="32">
        <v>2750</v>
      </c>
      <c r="D363" s="15">
        <v>2988.3203288042</v>
      </c>
      <c r="E363" s="30"/>
      <c r="F363" s="18" t="s">
        <v>99</v>
      </c>
      <c r="G363">
        <v>5</v>
      </c>
      <c r="H363" s="30"/>
      <c r="I363" s="5"/>
      <c r="J363" s="16"/>
      <c r="K363" s="5"/>
    </row>
    <row r="364" spans="1:11" x14ac:dyDescent="0.25">
      <c r="A364" t="s">
        <v>37</v>
      </c>
      <c r="B364" t="s">
        <v>38</v>
      </c>
      <c r="C364" s="32">
        <v>924</v>
      </c>
      <c r="D364" s="15">
        <v>1004.2715859096081</v>
      </c>
      <c r="E364" s="30"/>
      <c r="F364" s="18" t="s">
        <v>98</v>
      </c>
      <c r="G364">
        <v>6</v>
      </c>
      <c r="H364" s="30"/>
      <c r="I364" s="5"/>
      <c r="J364" s="16"/>
      <c r="K364" s="5"/>
    </row>
    <row r="365" spans="1:11" x14ac:dyDescent="0.25">
      <c r="A365" t="s">
        <v>6</v>
      </c>
      <c r="B365" t="s">
        <v>7</v>
      </c>
      <c r="C365" s="32">
        <v>924</v>
      </c>
      <c r="D365" s="15">
        <v>1004.2715859096081</v>
      </c>
      <c r="E365" s="30"/>
      <c r="F365" s="18" t="s">
        <v>99</v>
      </c>
      <c r="G365">
        <v>4</v>
      </c>
      <c r="H365" s="30"/>
      <c r="I365" s="5"/>
      <c r="J365" s="16"/>
      <c r="K365" s="5"/>
    </row>
    <row r="366" spans="1:11" x14ac:dyDescent="0.25">
      <c r="A366" t="s">
        <v>56</v>
      </c>
      <c r="B366" t="s">
        <v>57</v>
      </c>
      <c r="C366" s="32">
        <v>3043</v>
      </c>
      <c r="D366" s="15">
        <v>3306.7479048243194</v>
      </c>
      <c r="E366" s="30"/>
      <c r="F366" s="18" t="s">
        <v>99</v>
      </c>
      <c r="G366">
        <v>3</v>
      </c>
      <c r="H366" s="30"/>
      <c r="I366" s="5"/>
      <c r="J366" s="16"/>
      <c r="K366" s="5"/>
    </row>
    <row r="367" spans="1:11" x14ac:dyDescent="0.25">
      <c r="A367" t="s">
        <v>75</v>
      </c>
      <c r="B367" t="s">
        <v>21</v>
      </c>
      <c r="C367" s="32">
        <v>3291</v>
      </c>
      <c r="D367" s="15">
        <v>3576.1866229951897</v>
      </c>
      <c r="E367" s="30"/>
      <c r="F367" s="18" t="s">
        <v>98</v>
      </c>
      <c r="G367">
        <v>3</v>
      </c>
      <c r="H367" s="30"/>
      <c r="I367" s="5"/>
      <c r="J367" s="16"/>
      <c r="K367" s="5"/>
    </row>
    <row r="368" spans="1:11" x14ac:dyDescent="0.25">
      <c r="A368" t="s">
        <v>80</v>
      </c>
      <c r="B368" t="s">
        <v>57</v>
      </c>
      <c r="C368" s="32">
        <v>654</v>
      </c>
      <c r="D368" s="15">
        <v>710.33843881411303</v>
      </c>
      <c r="E368" s="30"/>
      <c r="F368" s="18" t="s">
        <v>98</v>
      </c>
      <c r="G368">
        <v>5</v>
      </c>
      <c r="H368" s="30"/>
      <c r="I368" s="5"/>
      <c r="J368" s="16"/>
      <c r="K368" s="5"/>
    </row>
    <row r="369" spans="1:11" x14ac:dyDescent="0.25">
      <c r="A369" t="s">
        <v>39</v>
      </c>
      <c r="B369" t="s">
        <v>30</v>
      </c>
      <c r="C369" s="32">
        <v>969</v>
      </c>
      <c r="D369" s="15">
        <v>1053.2604437588573</v>
      </c>
      <c r="E369" s="30"/>
      <c r="F369" s="18" t="s">
        <v>98</v>
      </c>
      <c r="G369">
        <v>2</v>
      </c>
      <c r="H369" s="30"/>
      <c r="I369" s="5"/>
      <c r="J369" s="16"/>
      <c r="K369" s="5"/>
    </row>
    <row r="370" spans="1:11" x14ac:dyDescent="0.25">
      <c r="A370" t="s">
        <v>58</v>
      </c>
      <c r="B370" t="s">
        <v>59</v>
      </c>
      <c r="C370" s="32">
        <v>857</v>
      </c>
      <c r="D370" s="15">
        <v>930.78829913573441</v>
      </c>
      <c r="E370" s="30"/>
      <c r="F370" s="18" t="s">
        <v>99</v>
      </c>
      <c r="G370">
        <v>5</v>
      </c>
      <c r="H370" s="30"/>
      <c r="I370" s="5"/>
      <c r="J370" s="16"/>
      <c r="K370" s="5"/>
    </row>
    <row r="371" spans="1:11" x14ac:dyDescent="0.25">
      <c r="A371" t="s">
        <v>12</v>
      </c>
      <c r="B371" t="s">
        <v>86</v>
      </c>
      <c r="C371" s="32">
        <v>947</v>
      </c>
      <c r="D371" s="15">
        <v>1028.7660148342327</v>
      </c>
      <c r="E371" s="30"/>
      <c r="F371" s="18" t="s">
        <v>99</v>
      </c>
      <c r="G371">
        <v>1</v>
      </c>
      <c r="H371" s="30"/>
      <c r="I371" s="5"/>
      <c r="J371" s="16"/>
      <c r="K371" s="5"/>
    </row>
    <row r="372" spans="1:11" x14ac:dyDescent="0.25">
      <c r="A372" t="s">
        <v>20</v>
      </c>
      <c r="B372" t="s">
        <v>21</v>
      </c>
      <c r="C372" s="32">
        <v>1736</v>
      </c>
      <c r="D372" s="15">
        <v>1886.0710271960934</v>
      </c>
      <c r="E372" s="30"/>
      <c r="F372" s="18" t="s">
        <v>99</v>
      </c>
      <c r="G372">
        <v>1</v>
      </c>
      <c r="H372" s="30"/>
      <c r="I372" s="5"/>
      <c r="J372" s="16"/>
      <c r="K372" s="5"/>
    </row>
    <row r="373" spans="1:11" x14ac:dyDescent="0.25">
      <c r="A373" t="s">
        <v>75</v>
      </c>
      <c r="B373" t="s">
        <v>21</v>
      </c>
      <c r="C373" s="32">
        <v>2750</v>
      </c>
      <c r="D373" s="15">
        <v>2988.3203288042</v>
      </c>
      <c r="E373" s="30"/>
      <c r="F373" s="18" t="s">
        <v>99</v>
      </c>
      <c r="G373">
        <v>1</v>
      </c>
      <c r="H373" s="30"/>
      <c r="I373" s="5"/>
      <c r="J373" s="16"/>
      <c r="K373" s="5"/>
    </row>
    <row r="374" spans="1:11" x14ac:dyDescent="0.25">
      <c r="A374" t="s">
        <v>4</v>
      </c>
      <c r="B374" t="s">
        <v>5</v>
      </c>
      <c r="C374" s="32">
        <v>1398</v>
      </c>
      <c r="D374" s="15">
        <v>1518.6545933267246</v>
      </c>
      <c r="E374" s="30"/>
      <c r="F374" s="18" t="s">
        <v>99</v>
      </c>
      <c r="G374">
        <v>6</v>
      </c>
      <c r="H374" s="30"/>
      <c r="I374" s="5"/>
      <c r="J374" s="16"/>
      <c r="K374" s="5"/>
    </row>
    <row r="375" spans="1:11" x14ac:dyDescent="0.25">
      <c r="A375" t="s">
        <v>4</v>
      </c>
      <c r="B375" t="s">
        <v>5</v>
      </c>
      <c r="C375" s="32">
        <v>857</v>
      </c>
      <c r="D375" s="15">
        <v>930.78829913573441</v>
      </c>
      <c r="E375" s="30"/>
      <c r="F375" s="18" t="s">
        <v>99</v>
      </c>
      <c r="G375">
        <v>3</v>
      </c>
      <c r="H375" s="30"/>
      <c r="I375" s="5"/>
      <c r="J375" s="16"/>
      <c r="K375" s="5"/>
    </row>
    <row r="376" spans="1:11" x14ac:dyDescent="0.25">
      <c r="A376" t="s">
        <v>33</v>
      </c>
      <c r="B376" t="s">
        <v>34</v>
      </c>
      <c r="C376" s="32">
        <v>1014</v>
      </c>
      <c r="D376" s="15">
        <v>1102.2493016081064</v>
      </c>
      <c r="E376" s="30"/>
      <c r="F376" s="18" t="s">
        <v>98</v>
      </c>
      <c r="G376">
        <v>5</v>
      </c>
      <c r="H376" s="30"/>
      <c r="I376" s="5"/>
      <c r="J376" s="16"/>
      <c r="K376" s="5"/>
    </row>
    <row r="377" spans="1:11" x14ac:dyDescent="0.25">
      <c r="A377" t="s">
        <v>26</v>
      </c>
      <c r="B377" t="s">
        <v>9</v>
      </c>
      <c r="C377" s="32">
        <v>924</v>
      </c>
      <c r="D377" s="15">
        <v>1004.2715859096081</v>
      </c>
      <c r="E377" s="30"/>
      <c r="F377" s="18" t="s">
        <v>98</v>
      </c>
      <c r="G377">
        <v>5</v>
      </c>
      <c r="H377" s="30"/>
      <c r="I377" s="5"/>
      <c r="J377" s="16"/>
      <c r="K377" s="5"/>
    </row>
    <row r="378" spans="1:11" x14ac:dyDescent="0.25">
      <c r="A378" t="s">
        <v>12</v>
      </c>
      <c r="B378" t="s">
        <v>13</v>
      </c>
      <c r="C378" s="32">
        <v>2750</v>
      </c>
      <c r="D378" s="15">
        <v>2988.3203288042</v>
      </c>
      <c r="E378" s="30"/>
      <c r="F378" s="18" t="s">
        <v>99</v>
      </c>
      <c r="G378">
        <v>1</v>
      </c>
      <c r="H378" s="30"/>
      <c r="I378" s="5"/>
      <c r="J378" s="16"/>
      <c r="K378" s="5"/>
    </row>
    <row r="379" spans="1:11" x14ac:dyDescent="0.25">
      <c r="A379" t="s">
        <v>12</v>
      </c>
      <c r="B379" t="s">
        <v>13</v>
      </c>
      <c r="C379" s="32">
        <v>654</v>
      </c>
      <c r="D379" s="15">
        <v>710.33843881411303</v>
      </c>
      <c r="E379" s="30"/>
      <c r="F379" s="18" t="s">
        <v>98</v>
      </c>
      <c r="G379">
        <v>4</v>
      </c>
      <c r="H379" s="30"/>
      <c r="I379" s="5"/>
      <c r="J379" s="16"/>
      <c r="K379" s="5"/>
    </row>
    <row r="380" spans="1:11" x14ac:dyDescent="0.25">
      <c r="A380" t="s">
        <v>54</v>
      </c>
      <c r="B380" t="s">
        <v>55</v>
      </c>
      <c r="C380" s="32">
        <v>5635</v>
      </c>
      <c r="D380" s="15">
        <v>6123.6072311561475</v>
      </c>
      <c r="E380" s="30"/>
      <c r="F380" s="18" t="s">
        <v>98</v>
      </c>
      <c r="G380">
        <v>4</v>
      </c>
      <c r="H380" s="30"/>
      <c r="I380" s="5"/>
      <c r="J380" s="16"/>
      <c r="K380" s="5"/>
    </row>
    <row r="381" spans="1:11" x14ac:dyDescent="0.25">
      <c r="A381" t="s">
        <v>12</v>
      </c>
      <c r="B381" t="s">
        <v>24</v>
      </c>
      <c r="C381" s="32">
        <v>1037</v>
      </c>
      <c r="D381" s="15">
        <v>1126.743730532731</v>
      </c>
      <c r="E381" s="30"/>
      <c r="F381" s="18" t="s">
        <v>98</v>
      </c>
      <c r="G381">
        <v>2</v>
      </c>
      <c r="H381" s="30"/>
      <c r="I381" s="5"/>
      <c r="J381" s="16"/>
      <c r="K381" s="5"/>
    </row>
    <row r="382" spans="1:11" x14ac:dyDescent="0.25">
      <c r="A382" t="s">
        <v>8</v>
      </c>
      <c r="B382" t="s">
        <v>9</v>
      </c>
      <c r="C382" s="32">
        <v>857</v>
      </c>
      <c r="D382" s="15">
        <v>930.78829913573441</v>
      </c>
      <c r="E382" s="30"/>
      <c r="F382" s="18" t="s">
        <v>98</v>
      </c>
      <c r="G382">
        <v>5</v>
      </c>
      <c r="H382" s="30"/>
      <c r="I382" s="5"/>
      <c r="J382" s="16"/>
      <c r="K382" s="5"/>
    </row>
    <row r="383" spans="1:11" x14ac:dyDescent="0.25">
      <c r="A383" t="s">
        <v>54</v>
      </c>
      <c r="B383" t="s">
        <v>55</v>
      </c>
      <c r="C383" s="32">
        <v>2750</v>
      </c>
      <c r="D383" s="15">
        <v>2988.3203288042</v>
      </c>
      <c r="E383" s="30"/>
      <c r="F383" s="18" t="s">
        <v>98</v>
      </c>
      <c r="G383">
        <v>6</v>
      </c>
      <c r="H383" s="30"/>
      <c r="I383" s="5"/>
      <c r="J383" s="16"/>
      <c r="K383" s="5"/>
    </row>
    <row r="384" spans="1:11" x14ac:dyDescent="0.25">
      <c r="A384" t="s">
        <v>79</v>
      </c>
      <c r="B384" t="s">
        <v>47</v>
      </c>
      <c r="C384" s="32">
        <v>1555</v>
      </c>
      <c r="D384" s="15">
        <v>1690.1155957990966</v>
      </c>
      <c r="E384" s="30"/>
      <c r="F384" s="18" t="s">
        <v>98</v>
      </c>
      <c r="G384">
        <v>1</v>
      </c>
      <c r="H384" s="30"/>
      <c r="I384" s="5"/>
      <c r="J384" s="16"/>
      <c r="K384" s="5"/>
    </row>
    <row r="385" spans="1:11" x14ac:dyDescent="0.25">
      <c r="A385" t="s">
        <v>62</v>
      </c>
      <c r="B385" t="s">
        <v>63</v>
      </c>
      <c r="C385" s="32">
        <v>2750</v>
      </c>
      <c r="D385" s="15">
        <v>2988.3203288042</v>
      </c>
      <c r="E385" s="30"/>
      <c r="F385" s="18" t="s">
        <v>99</v>
      </c>
      <c r="G385">
        <v>1</v>
      </c>
      <c r="H385" s="30"/>
      <c r="I385" s="5"/>
      <c r="J385" s="16"/>
      <c r="K385" s="5"/>
    </row>
    <row r="386" spans="1:11" x14ac:dyDescent="0.25">
      <c r="A386" t="s">
        <v>10</v>
      </c>
      <c r="B386" t="s">
        <v>11</v>
      </c>
      <c r="C386" s="32">
        <v>857</v>
      </c>
      <c r="D386" s="15">
        <v>930.78829913573441</v>
      </c>
      <c r="E386" s="30"/>
      <c r="F386" s="18" t="s">
        <v>99</v>
      </c>
      <c r="G386">
        <v>2</v>
      </c>
      <c r="H386" s="30"/>
      <c r="I386" s="5"/>
      <c r="J386" s="16"/>
      <c r="K386" s="5"/>
    </row>
    <row r="387" spans="1:11" x14ac:dyDescent="0.25">
      <c r="A387" t="s">
        <v>18</v>
      </c>
      <c r="B387" t="s">
        <v>19</v>
      </c>
      <c r="C387" s="32">
        <v>857</v>
      </c>
      <c r="D387" s="15">
        <v>930.78829913573441</v>
      </c>
      <c r="E387" s="30"/>
      <c r="F387" s="18" t="s">
        <v>98</v>
      </c>
      <c r="G387">
        <v>2</v>
      </c>
      <c r="H387" s="30"/>
      <c r="I387" s="5"/>
      <c r="J387" s="16"/>
      <c r="K387" s="5"/>
    </row>
    <row r="388" spans="1:11" x14ac:dyDescent="0.25">
      <c r="A388" t="s">
        <v>54</v>
      </c>
      <c r="B388" t="s">
        <v>55</v>
      </c>
      <c r="C388" s="32">
        <v>4508</v>
      </c>
      <c r="D388" s="15">
        <v>4898.885784924918</v>
      </c>
      <c r="E388" s="30"/>
      <c r="F388" s="18" t="s">
        <v>98</v>
      </c>
      <c r="G388">
        <v>2</v>
      </c>
      <c r="H388" s="30"/>
      <c r="I388" s="5"/>
      <c r="J388" s="16"/>
      <c r="K388" s="5"/>
    </row>
    <row r="389" spans="1:11" x14ac:dyDescent="0.25">
      <c r="D389" s="15"/>
      <c r="E389" s="15"/>
      <c r="F389" s="19"/>
      <c r="G389" s="15"/>
      <c r="H389" s="15"/>
      <c r="I389" s="15"/>
      <c r="J389" s="15"/>
    </row>
    <row r="390" spans="1:11" x14ac:dyDescent="0.25">
      <c r="I390" s="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10B2-7189-4669-8425-08C5D768D5B5}">
  <sheetPr>
    <tabColor theme="8" tint="0.79998168889431442"/>
  </sheetPr>
  <dimension ref="A1:N390"/>
  <sheetViews>
    <sheetView workbookViewId="0">
      <selection activeCell="A2" sqref="A2"/>
    </sheetView>
  </sheetViews>
  <sheetFormatPr defaultRowHeight="15" x14ac:dyDescent="0.25"/>
  <cols>
    <col min="1" max="1" width="16" customWidth="1"/>
    <col min="2" max="2" width="10.7109375" bestFit="1" customWidth="1"/>
    <col min="3" max="3" width="17.140625" style="2" customWidth="1"/>
    <col min="4" max="4" width="24.7109375" bestFit="1" customWidth="1"/>
    <col min="5" max="5" width="16.140625" style="6" customWidth="1"/>
    <col min="6" max="6" width="12.5703125" customWidth="1"/>
    <col min="7" max="7" width="19.140625" bestFit="1" customWidth="1"/>
    <col min="8" max="8" width="18.42578125" customWidth="1"/>
    <col min="9" max="9" width="17.5703125" customWidth="1"/>
    <col min="10" max="10" width="24.5703125" customWidth="1"/>
    <col min="11" max="11" width="15.140625" customWidth="1"/>
    <col min="12" max="12" width="9.85546875" bestFit="1" customWidth="1"/>
    <col min="13" max="13" width="16.85546875" bestFit="1" customWidth="1"/>
    <col min="14" max="14" width="9.42578125" bestFit="1" customWidth="1"/>
  </cols>
  <sheetData>
    <row r="1" spans="1:14" s="14" customFormat="1" x14ac:dyDescent="0.25">
      <c r="A1" s="11" t="s">
        <v>91</v>
      </c>
      <c r="B1" s="11"/>
      <c r="C1" s="12"/>
      <c r="D1" s="11"/>
      <c r="E1" s="13">
        <f ca="1">IF(E7="",0,IF(_xlfn.ISFORMULA(E7),IF(FIND("$4",_xlfn.FORMULATEXT(E7))&lt;&gt;0,IF(FIND("C7",_xlfn.FORMULATEXT(E7))&lt;&gt;0,IF(ROUND(ROUND(SUM(E7:E388),2)-ROUNDDOWN(SUM(E7:E388),0),2)-0.03=0.7,(ROUND(SUM(E7:E388),2)-FLOOR(SUM(E7:E388),1))*100,60),MAX(E7:E338)),20),13))</f>
        <v>0</v>
      </c>
      <c r="F1" s="13"/>
      <c r="G1" s="13"/>
      <c r="H1" s="13">
        <f ca="1">IF(H7="",0,IF(_xlfn.ISFORMULA(H7),IF(FIND("F7",_xlfn.FORMULATEXT(H7))&lt;&gt;0,IF(FIND("C7",_xlfn.FORMULATEXT(H7))&lt;&gt;0,IF(ROUND(ROUND(SUM(H7:H388),2)-ROUNDDOWN(SUM(H7:H388),0),2)-0.03&lt;&gt;0.9,15,(ROUND(SUM(H7:H388),2)-ROUNDDOWN(SUM(H7:H388),0))/3*100),403),218),7))</f>
        <v>0</v>
      </c>
      <c r="I1" s="11">
        <f ca="1">IF(I7="",0,IF(_xlfn.ISFORMULA(I7),IF(MID(_xlfn.FORMULATEXT(I7),3,1)="e",IF(I7="zabawki i słodycze",IF(I9="słodycze",IF(COUNTIF(I7:I388,"zabawki i słodycze")+12=200,(COUNTIF(I7:I388,"zabawki i słodycze")-8)/20,COUNTIF(I7:I388,"zabawki i słodycze")/2),(COUNTIF(I7:I388,"zabawki i słodycze")+1)/3),COUNTIF(I7:I388,"zabawki i słodycze")/10),COUNTIF(I7:I388,"zabawki i słodycze")/4),COUNTIF(I7:I388,"zabawki i słodycze")/20))</f>
        <v>0</v>
      </c>
      <c r="J1" s="17">
        <f>IF(J7="",0,ROUND(AVERAGE(J7:J388),2))</f>
        <v>0</v>
      </c>
      <c r="K1" s="11">
        <f ca="1">IF(K7="",0,IF(K7="",0,IF(_xlfn.ISFORMULA(K7),IF(MID(_xlfn.FORMULATEXT(K7),3,1)="e",IF(FIND("$3",_xlfn.FORMULATEXT(K7))&lt;&gt;0,IF(FIND("$4",_xlfn.FORMULATEXT(K7))&lt;&gt;0,IF(ROUND(AVERAGE(K7:K388),0)+20=300,ROUND(AVERAGE(K7:K388),0),ROUND(MIN(K7:K388),0)),ROUND(MAX(K7:K388),0)),ROUND(MIN(K7:K388),0)-10),1125),39)))</f>
        <v>0</v>
      </c>
      <c r="L1" s="11"/>
    </row>
    <row r="2" spans="1:14" ht="15.75" thickBot="1" x14ac:dyDescent="0.3">
      <c r="A2" s="1"/>
    </row>
    <row r="3" spans="1:14" x14ac:dyDescent="0.25">
      <c r="D3" s="37" t="s">
        <v>92</v>
      </c>
      <c r="E3" s="38">
        <v>4.4362680599999997</v>
      </c>
      <c r="G3" s="55" t="s">
        <v>109</v>
      </c>
      <c r="H3" s="41">
        <v>50</v>
      </c>
      <c r="I3" s="6"/>
      <c r="J3" s="35" t="s">
        <v>106</v>
      </c>
    </row>
    <row r="4" spans="1:14" ht="15.75" thickBot="1" x14ac:dyDescent="0.3">
      <c r="D4" s="39" t="s">
        <v>94</v>
      </c>
      <c r="E4" s="40">
        <v>4.0825609900000002</v>
      </c>
      <c r="G4" s="56"/>
      <c r="H4" s="42">
        <v>50</v>
      </c>
      <c r="J4" s="36" t="s">
        <v>108</v>
      </c>
      <c r="N4" s="7"/>
    </row>
    <row r="6" spans="1:14" ht="45" x14ac:dyDescent="0.25">
      <c r="A6" s="26" t="s">
        <v>0</v>
      </c>
      <c r="B6" s="26" t="s">
        <v>1</v>
      </c>
      <c r="C6" s="27" t="s">
        <v>95</v>
      </c>
      <c r="D6" s="28" t="s">
        <v>88</v>
      </c>
      <c r="E6" s="28" t="s">
        <v>110</v>
      </c>
      <c r="F6" s="26" t="s">
        <v>107</v>
      </c>
      <c r="G6" s="26" t="s">
        <v>89</v>
      </c>
      <c r="H6" s="26" t="s">
        <v>107</v>
      </c>
      <c r="I6" s="26" t="s">
        <v>90</v>
      </c>
      <c r="J6" s="26" t="s">
        <v>115</v>
      </c>
      <c r="K6" s="26" t="s">
        <v>101</v>
      </c>
    </row>
    <row r="7" spans="1:14" x14ac:dyDescent="0.25">
      <c r="A7" t="s">
        <v>42</v>
      </c>
      <c r="B7" t="s">
        <v>43</v>
      </c>
      <c r="C7" s="4">
        <v>2100</v>
      </c>
      <c r="D7" s="33">
        <v>473.37085396954126</v>
      </c>
      <c r="E7" s="16"/>
      <c r="F7" s="3">
        <v>0.1</v>
      </c>
      <c r="G7">
        <v>1</v>
      </c>
      <c r="H7" s="5"/>
      <c r="I7" s="5"/>
      <c r="J7" s="34"/>
      <c r="K7" s="5"/>
      <c r="L7" s="31"/>
      <c r="M7" s="8"/>
      <c r="N7" s="6"/>
    </row>
    <row r="8" spans="1:14" x14ac:dyDescent="0.25">
      <c r="A8" t="s">
        <v>79</v>
      </c>
      <c r="B8" t="s">
        <v>47</v>
      </c>
      <c r="C8" s="4">
        <v>4100</v>
      </c>
      <c r="D8" s="33">
        <v>924.20023870243767</v>
      </c>
      <c r="E8" s="16"/>
      <c r="F8" s="3">
        <v>0.09</v>
      </c>
      <c r="G8">
        <v>2</v>
      </c>
      <c r="H8" s="5"/>
      <c r="I8" s="5"/>
      <c r="J8" s="34"/>
      <c r="K8" s="5"/>
      <c r="M8" s="9"/>
    </row>
    <row r="9" spans="1:14" x14ac:dyDescent="0.25">
      <c r="A9" t="s">
        <v>40</v>
      </c>
      <c r="B9" t="s">
        <v>41</v>
      </c>
      <c r="C9" s="4">
        <v>8950</v>
      </c>
      <c r="D9" s="33">
        <v>2017.4614966797117</v>
      </c>
      <c r="E9" s="16"/>
      <c r="F9" s="3">
        <v>0.05</v>
      </c>
      <c r="H9" s="5"/>
      <c r="I9" s="5"/>
      <c r="J9" s="34"/>
      <c r="K9" s="5"/>
    </row>
    <row r="10" spans="1:14" x14ac:dyDescent="0.25">
      <c r="A10" t="s">
        <v>81</v>
      </c>
      <c r="B10" t="s">
        <v>23</v>
      </c>
      <c r="C10" s="4">
        <v>2500</v>
      </c>
      <c r="D10" s="33">
        <v>563.53673091612052</v>
      </c>
      <c r="E10" s="16"/>
      <c r="F10" s="3">
        <v>0.09</v>
      </c>
      <c r="G10">
        <v>2</v>
      </c>
      <c r="H10" s="5"/>
      <c r="I10" s="5"/>
      <c r="J10" s="34"/>
      <c r="K10" s="5"/>
    </row>
    <row r="11" spans="1:14" x14ac:dyDescent="0.25">
      <c r="A11" t="s">
        <v>22</v>
      </c>
      <c r="B11" t="s">
        <v>23</v>
      </c>
      <c r="C11" s="4">
        <v>6200</v>
      </c>
      <c r="D11" s="33">
        <v>1397.5710926719789</v>
      </c>
      <c r="E11" s="16"/>
      <c r="F11" s="3">
        <v>0.06</v>
      </c>
      <c r="H11" s="5"/>
      <c r="I11" s="5"/>
      <c r="J11" s="34"/>
      <c r="K11" s="5"/>
    </row>
    <row r="12" spans="1:14" x14ac:dyDescent="0.25">
      <c r="A12" t="s">
        <v>64</v>
      </c>
      <c r="B12" t="s">
        <v>65</v>
      </c>
      <c r="C12" s="4">
        <v>4500</v>
      </c>
      <c r="D12" s="33">
        <v>1014.366115649017</v>
      </c>
      <c r="E12" s="16"/>
      <c r="F12" s="3">
        <v>0.05</v>
      </c>
      <c r="H12" s="5"/>
      <c r="I12" s="5"/>
      <c r="J12" s="34"/>
      <c r="K12" s="5"/>
    </row>
    <row r="13" spans="1:14" x14ac:dyDescent="0.25">
      <c r="A13" t="s">
        <v>8</v>
      </c>
      <c r="B13" t="s">
        <v>9</v>
      </c>
      <c r="C13" s="4">
        <v>2600</v>
      </c>
      <c r="D13" s="33">
        <v>586.07820015276536</v>
      </c>
      <c r="E13" s="16"/>
      <c r="F13" s="3">
        <v>0.09</v>
      </c>
      <c r="H13" s="5"/>
      <c r="I13" s="5"/>
      <c r="J13" s="34"/>
      <c r="K13" s="5"/>
    </row>
    <row r="14" spans="1:14" x14ac:dyDescent="0.25">
      <c r="A14" t="s">
        <v>16</v>
      </c>
      <c r="B14" t="s">
        <v>17</v>
      </c>
      <c r="C14" s="4">
        <v>4100</v>
      </c>
      <c r="D14" s="33">
        <v>924.20023870243767</v>
      </c>
      <c r="E14" s="16"/>
      <c r="F14" s="3">
        <v>0.04</v>
      </c>
      <c r="G14">
        <v>1</v>
      </c>
      <c r="H14" s="5"/>
      <c r="I14" s="5"/>
      <c r="J14" s="34"/>
      <c r="K14" s="5"/>
    </row>
    <row r="15" spans="1:14" x14ac:dyDescent="0.25">
      <c r="A15" t="s">
        <v>81</v>
      </c>
      <c r="B15" t="s">
        <v>23</v>
      </c>
      <c r="C15" s="4">
        <v>23300</v>
      </c>
      <c r="D15" s="33">
        <v>5252.162332138244</v>
      </c>
      <c r="E15" s="16"/>
      <c r="F15" s="3">
        <v>0.06</v>
      </c>
      <c r="H15" s="5"/>
      <c r="I15" s="5"/>
      <c r="J15" s="34"/>
      <c r="K15" s="5"/>
    </row>
    <row r="16" spans="1:14" x14ac:dyDescent="0.25">
      <c r="A16" t="s">
        <v>4</v>
      </c>
      <c r="B16" t="s">
        <v>5</v>
      </c>
      <c r="C16" s="4">
        <v>4500</v>
      </c>
      <c r="D16" s="33">
        <v>1014.366115649017</v>
      </c>
      <c r="E16" s="16"/>
      <c r="F16" s="3">
        <v>0.06</v>
      </c>
      <c r="H16" s="5"/>
      <c r="I16" s="5"/>
      <c r="J16" s="34"/>
      <c r="K16" s="5"/>
    </row>
    <row r="17" spans="1:11" x14ac:dyDescent="0.25">
      <c r="A17" t="s">
        <v>12</v>
      </c>
      <c r="B17" t="s">
        <v>30</v>
      </c>
      <c r="C17" s="4">
        <v>4300</v>
      </c>
      <c r="D17" s="33">
        <v>969.28317717572736</v>
      </c>
      <c r="E17" s="16"/>
      <c r="F17" s="3">
        <v>0.05</v>
      </c>
      <c r="H17" s="5"/>
      <c r="I17" s="5"/>
      <c r="J17" s="34"/>
      <c r="K17" s="5"/>
    </row>
    <row r="18" spans="1:11" x14ac:dyDescent="0.25">
      <c r="A18" t="s">
        <v>12</v>
      </c>
      <c r="B18" t="s">
        <v>24</v>
      </c>
      <c r="C18" s="4">
        <v>4100</v>
      </c>
      <c r="D18" s="33">
        <v>924.20023870243767</v>
      </c>
      <c r="E18" s="16"/>
      <c r="F18" s="3">
        <v>7.0000000000000007E-2</v>
      </c>
      <c r="H18" s="5"/>
      <c r="I18" s="5"/>
      <c r="J18" s="34"/>
      <c r="K18" s="5"/>
    </row>
    <row r="19" spans="1:11" x14ac:dyDescent="0.25">
      <c r="A19" t="s">
        <v>35</v>
      </c>
      <c r="B19" t="s">
        <v>36</v>
      </c>
      <c r="C19" s="4">
        <v>4300</v>
      </c>
      <c r="D19" s="33">
        <v>969.28317717572736</v>
      </c>
      <c r="E19" s="16"/>
      <c r="F19" s="3">
        <v>0.05</v>
      </c>
      <c r="H19" s="5"/>
      <c r="I19" s="5"/>
      <c r="J19" s="34"/>
      <c r="K19" s="5"/>
    </row>
    <row r="20" spans="1:11" x14ac:dyDescent="0.25">
      <c r="A20" t="s">
        <v>69</v>
      </c>
      <c r="B20" t="s">
        <v>70</v>
      </c>
      <c r="C20" s="4">
        <v>3600</v>
      </c>
      <c r="D20" s="33">
        <v>811.49289251921357</v>
      </c>
      <c r="E20" s="16"/>
      <c r="F20" s="3">
        <v>0.05</v>
      </c>
      <c r="H20" s="5"/>
      <c r="I20" s="5"/>
      <c r="J20" s="34"/>
      <c r="K20" s="5"/>
    </row>
    <row r="21" spans="1:11" x14ac:dyDescent="0.25">
      <c r="A21" t="s">
        <v>16</v>
      </c>
      <c r="B21" t="s">
        <v>17</v>
      </c>
      <c r="C21" s="4">
        <v>2800</v>
      </c>
      <c r="D21" s="33">
        <v>631.16113862605505</v>
      </c>
      <c r="E21" s="16"/>
      <c r="F21" s="3">
        <v>0.15</v>
      </c>
      <c r="G21">
        <v>1</v>
      </c>
      <c r="H21" s="5"/>
      <c r="I21" s="5"/>
      <c r="J21" s="34"/>
      <c r="K21" s="5"/>
    </row>
    <row r="22" spans="1:11" x14ac:dyDescent="0.25">
      <c r="A22" t="s">
        <v>82</v>
      </c>
      <c r="B22" t="s">
        <v>83</v>
      </c>
      <c r="C22" s="4">
        <v>4500</v>
      </c>
      <c r="D22" s="33">
        <v>1014.366115649017</v>
      </c>
      <c r="E22" s="16"/>
      <c r="F22" s="3">
        <v>7.0000000000000007E-2</v>
      </c>
      <c r="G22">
        <v>1</v>
      </c>
      <c r="H22" s="5"/>
      <c r="I22" s="5"/>
      <c r="J22" s="34"/>
      <c r="K22" s="5"/>
    </row>
    <row r="23" spans="1:11" x14ac:dyDescent="0.25">
      <c r="A23" t="s">
        <v>8</v>
      </c>
      <c r="B23" t="s">
        <v>9</v>
      </c>
      <c r="C23" s="4">
        <v>3800</v>
      </c>
      <c r="D23" s="33">
        <v>856.57583099250326</v>
      </c>
      <c r="E23" s="16"/>
      <c r="F23" s="3">
        <v>0.09</v>
      </c>
      <c r="H23" s="5"/>
      <c r="I23" s="5"/>
      <c r="J23" s="34"/>
      <c r="K23" s="5"/>
    </row>
    <row r="24" spans="1:11" x14ac:dyDescent="0.25">
      <c r="A24" t="s">
        <v>35</v>
      </c>
      <c r="B24" t="s">
        <v>36</v>
      </c>
      <c r="C24" s="4">
        <v>3400</v>
      </c>
      <c r="D24" s="33">
        <v>766.409954045924</v>
      </c>
      <c r="E24" s="16"/>
      <c r="F24" s="3">
        <v>0.05</v>
      </c>
      <c r="G24">
        <v>2</v>
      </c>
      <c r="H24" s="5"/>
      <c r="I24" s="5"/>
      <c r="J24" s="34"/>
      <c r="K24" s="5"/>
    </row>
    <row r="25" spans="1:11" x14ac:dyDescent="0.25">
      <c r="A25" t="s">
        <v>20</v>
      </c>
      <c r="B25" t="s">
        <v>21</v>
      </c>
      <c r="C25" s="4">
        <v>2900</v>
      </c>
      <c r="D25" s="33">
        <v>653.70260786269989</v>
      </c>
      <c r="E25" s="16"/>
      <c r="F25" s="3">
        <v>0.06</v>
      </c>
      <c r="H25" s="5"/>
      <c r="I25" s="5"/>
      <c r="J25" s="34"/>
      <c r="K25" s="5"/>
    </row>
    <row r="26" spans="1:11" x14ac:dyDescent="0.25">
      <c r="A26" t="s">
        <v>67</v>
      </c>
      <c r="B26" t="s">
        <v>68</v>
      </c>
      <c r="C26" s="4">
        <v>7200</v>
      </c>
      <c r="D26" s="33">
        <v>1622.9857850384271</v>
      </c>
      <c r="E26" s="16"/>
      <c r="F26" s="3">
        <v>0.05</v>
      </c>
      <c r="G26">
        <v>3</v>
      </c>
      <c r="H26" s="5"/>
      <c r="I26" s="5"/>
      <c r="J26" s="34"/>
      <c r="K26" s="5"/>
    </row>
    <row r="27" spans="1:11" x14ac:dyDescent="0.25">
      <c r="A27" t="s">
        <v>42</v>
      </c>
      <c r="B27" t="s">
        <v>43</v>
      </c>
      <c r="C27" s="4">
        <v>2800</v>
      </c>
      <c r="D27" s="33">
        <v>631.16113862605505</v>
      </c>
      <c r="E27" s="16"/>
      <c r="F27" s="3">
        <v>0.15</v>
      </c>
      <c r="H27" s="5"/>
      <c r="I27" s="5"/>
      <c r="J27" s="34"/>
      <c r="K27" s="5"/>
    </row>
    <row r="28" spans="1:11" x14ac:dyDescent="0.25">
      <c r="A28" t="s">
        <v>18</v>
      </c>
      <c r="B28" t="s">
        <v>19</v>
      </c>
      <c r="C28" s="4">
        <v>4100</v>
      </c>
      <c r="D28" s="33">
        <v>924.20023870243767</v>
      </c>
      <c r="E28" s="16"/>
      <c r="F28" s="3">
        <v>0.15</v>
      </c>
      <c r="H28" s="5"/>
      <c r="I28" s="5"/>
      <c r="J28" s="34"/>
      <c r="K28" s="5"/>
    </row>
    <row r="29" spans="1:11" x14ac:dyDescent="0.25">
      <c r="A29" t="s">
        <v>10</v>
      </c>
      <c r="B29" t="s">
        <v>11</v>
      </c>
      <c r="C29" s="4">
        <v>2900</v>
      </c>
      <c r="D29" s="33">
        <v>653.70260786269989</v>
      </c>
      <c r="E29" s="16"/>
      <c r="F29" s="3">
        <v>0.05</v>
      </c>
      <c r="G29">
        <v>1</v>
      </c>
      <c r="H29" s="5"/>
      <c r="I29" s="5"/>
      <c r="J29" s="34"/>
      <c r="K29" s="5"/>
    </row>
    <row r="30" spans="1:11" x14ac:dyDescent="0.25">
      <c r="A30" t="s">
        <v>60</v>
      </c>
      <c r="B30" t="s">
        <v>61</v>
      </c>
      <c r="C30" s="4">
        <v>2800</v>
      </c>
      <c r="D30" s="33">
        <v>631.16113862605505</v>
      </c>
      <c r="E30" s="16"/>
      <c r="F30" s="3">
        <v>0.09</v>
      </c>
      <c r="G30">
        <v>1</v>
      </c>
      <c r="H30" s="5"/>
      <c r="I30" s="5"/>
      <c r="J30" s="34"/>
      <c r="K30" s="5"/>
    </row>
    <row r="31" spans="1:11" x14ac:dyDescent="0.25">
      <c r="A31" t="s">
        <v>12</v>
      </c>
      <c r="B31" t="s">
        <v>86</v>
      </c>
      <c r="C31" s="4">
        <v>2900</v>
      </c>
      <c r="D31" s="33">
        <v>653.70260786269989</v>
      </c>
      <c r="E31" s="16"/>
      <c r="F31" s="3">
        <v>0.05</v>
      </c>
      <c r="H31" s="5"/>
      <c r="I31" s="5"/>
      <c r="J31" s="34"/>
      <c r="K31" s="5"/>
    </row>
    <row r="32" spans="1:11" x14ac:dyDescent="0.25">
      <c r="A32" t="s">
        <v>56</v>
      </c>
      <c r="B32" t="s">
        <v>57</v>
      </c>
      <c r="C32" s="4">
        <v>7700</v>
      </c>
      <c r="D32" s="33">
        <v>1735.6931312216514</v>
      </c>
      <c r="E32" s="16"/>
      <c r="F32" s="3">
        <v>7.0000000000000007E-2</v>
      </c>
      <c r="H32" s="5"/>
      <c r="I32" s="5"/>
      <c r="J32" s="34"/>
      <c r="K32" s="5"/>
    </row>
    <row r="33" spans="1:11" x14ac:dyDescent="0.25">
      <c r="A33" t="s">
        <v>44</v>
      </c>
      <c r="B33" t="s">
        <v>45</v>
      </c>
      <c r="C33" s="4">
        <v>4500</v>
      </c>
      <c r="D33" s="33">
        <v>1014.366115649017</v>
      </c>
      <c r="E33" s="16"/>
      <c r="F33" s="3">
        <v>0.05</v>
      </c>
      <c r="G33">
        <v>1</v>
      </c>
      <c r="H33" s="5"/>
      <c r="I33" s="5"/>
      <c r="J33" s="34"/>
      <c r="K33" s="5"/>
    </row>
    <row r="34" spans="1:11" x14ac:dyDescent="0.25">
      <c r="A34" t="s">
        <v>62</v>
      </c>
      <c r="B34" t="s">
        <v>63</v>
      </c>
      <c r="C34" s="4">
        <v>4600</v>
      </c>
      <c r="D34" s="33">
        <v>1036.9075848856619</v>
      </c>
      <c r="E34" s="16"/>
      <c r="F34" s="3">
        <v>0.1</v>
      </c>
      <c r="H34" s="5"/>
      <c r="I34" s="5"/>
      <c r="J34" s="34"/>
      <c r="K34" s="5"/>
    </row>
    <row r="35" spans="1:11" x14ac:dyDescent="0.25">
      <c r="A35" t="s">
        <v>27</v>
      </c>
      <c r="B35" t="s">
        <v>28</v>
      </c>
      <c r="C35" s="4">
        <v>8900</v>
      </c>
      <c r="D35" s="33">
        <v>2006.1907620613893</v>
      </c>
      <c r="E35" s="16"/>
      <c r="F35" s="3">
        <v>0.05</v>
      </c>
      <c r="G35">
        <v>2</v>
      </c>
      <c r="H35" s="5"/>
      <c r="I35" s="5"/>
      <c r="J35" s="34"/>
      <c r="K35" s="5"/>
    </row>
    <row r="36" spans="1:11" x14ac:dyDescent="0.25">
      <c r="A36" t="s">
        <v>73</v>
      </c>
      <c r="B36" t="s">
        <v>74</v>
      </c>
      <c r="C36" s="4">
        <v>2900</v>
      </c>
      <c r="D36" s="33">
        <v>653.70260786269989</v>
      </c>
      <c r="E36" s="16"/>
      <c r="F36" s="3">
        <v>0.1</v>
      </c>
      <c r="H36" s="5"/>
      <c r="I36" s="5"/>
      <c r="J36" s="34"/>
      <c r="K36" s="5"/>
    </row>
    <row r="37" spans="1:11" x14ac:dyDescent="0.25">
      <c r="A37" t="s">
        <v>18</v>
      </c>
      <c r="B37" t="s">
        <v>19</v>
      </c>
      <c r="C37" s="4">
        <v>4100</v>
      </c>
      <c r="D37" s="33">
        <v>924.20023870243767</v>
      </c>
      <c r="E37" s="16"/>
      <c r="F37" s="3">
        <v>0.05</v>
      </c>
      <c r="H37" s="5"/>
      <c r="I37" s="5"/>
      <c r="J37" s="34"/>
      <c r="K37" s="5"/>
    </row>
    <row r="38" spans="1:11" x14ac:dyDescent="0.25">
      <c r="A38" t="s">
        <v>78</v>
      </c>
      <c r="B38" t="s">
        <v>63</v>
      </c>
      <c r="C38" s="4">
        <v>14600</v>
      </c>
      <c r="D38" s="33">
        <v>3291.054508550144</v>
      </c>
      <c r="E38" s="16"/>
      <c r="F38" s="3">
        <v>0.1</v>
      </c>
      <c r="H38" s="5"/>
      <c r="I38" s="5"/>
      <c r="J38" s="34"/>
      <c r="K38" s="5"/>
    </row>
    <row r="39" spans="1:11" x14ac:dyDescent="0.25">
      <c r="A39" t="s">
        <v>29</v>
      </c>
      <c r="B39" t="s">
        <v>30</v>
      </c>
      <c r="C39" s="4">
        <v>3800</v>
      </c>
      <c r="D39" s="33">
        <v>856.57583099250326</v>
      </c>
      <c r="E39" s="16"/>
      <c r="F39" s="3">
        <v>0.04</v>
      </c>
      <c r="G39">
        <v>1</v>
      </c>
      <c r="H39" s="5"/>
      <c r="I39" s="5"/>
      <c r="J39" s="34"/>
      <c r="K39" s="5"/>
    </row>
    <row r="40" spans="1:11" x14ac:dyDescent="0.25">
      <c r="A40" t="s">
        <v>58</v>
      </c>
      <c r="B40" t="s">
        <v>59</v>
      </c>
      <c r="C40" s="4">
        <v>4100</v>
      </c>
      <c r="D40" s="33">
        <v>924.20023870243767</v>
      </c>
      <c r="E40" s="16"/>
      <c r="F40" s="3">
        <v>0.04</v>
      </c>
      <c r="H40" s="5"/>
      <c r="I40" s="5"/>
      <c r="J40" s="34"/>
      <c r="K40" s="5"/>
    </row>
    <row r="41" spans="1:11" x14ac:dyDescent="0.25">
      <c r="A41" t="s">
        <v>29</v>
      </c>
      <c r="B41" t="s">
        <v>30</v>
      </c>
      <c r="C41" s="4">
        <v>3800</v>
      </c>
      <c r="D41" s="33">
        <v>856.57583099250326</v>
      </c>
      <c r="E41" s="16"/>
      <c r="F41" s="3">
        <v>0.06</v>
      </c>
      <c r="H41" s="5"/>
      <c r="I41" s="5"/>
      <c r="J41" s="34"/>
      <c r="K41" s="5"/>
    </row>
    <row r="42" spans="1:11" x14ac:dyDescent="0.25">
      <c r="A42" t="s">
        <v>62</v>
      </c>
      <c r="B42" t="s">
        <v>63</v>
      </c>
      <c r="C42" s="4">
        <v>14600</v>
      </c>
      <c r="D42" s="33">
        <v>3291.054508550144</v>
      </c>
      <c r="E42" s="16"/>
      <c r="F42" s="3">
        <v>0.1</v>
      </c>
      <c r="H42" s="5"/>
      <c r="I42" s="5"/>
      <c r="J42" s="34"/>
      <c r="K42" s="5"/>
    </row>
    <row r="43" spans="1:11" x14ac:dyDescent="0.25">
      <c r="A43" t="s">
        <v>29</v>
      </c>
      <c r="B43" t="s">
        <v>30</v>
      </c>
      <c r="C43" s="4">
        <v>4100</v>
      </c>
      <c r="D43" s="33">
        <v>924.20023870243767</v>
      </c>
      <c r="E43" s="16"/>
      <c r="F43" s="3">
        <v>0.15</v>
      </c>
      <c r="G43">
        <v>1</v>
      </c>
      <c r="H43" s="5"/>
      <c r="I43" s="5"/>
      <c r="J43" s="34"/>
      <c r="K43" s="5"/>
    </row>
    <row r="44" spans="1:11" x14ac:dyDescent="0.25">
      <c r="A44" t="s">
        <v>12</v>
      </c>
      <c r="B44" t="s">
        <v>24</v>
      </c>
      <c r="C44" s="4">
        <v>12000</v>
      </c>
      <c r="D44" s="33">
        <v>2704.9763083973785</v>
      </c>
      <c r="E44" s="16"/>
      <c r="F44" s="3">
        <v>0.15</v>
      </c>
      <c r="H44" s="5"/>
      <c r="I44" s="5"/>
      <c r="J44" s="34"/>
      <c r="K44" s="5"/>
    </row>
    <row r="45" spans="1:11" x14ac:dyDescent="0.25">
      <c r="A45" t="s">
        <v>8</v>
      </c>
      <c r="B45" t="s">
        <v>9</v>
      </c>
      <c r="C45" s="4">
        <v>2900</v>
      </c>
      <c r="D45" s="33">
        <v>653.70260786269989</v>
      </c>
      <c r="E45" s="16"/>
      <c r="F45" s="3">
        <v>0.06</v>
      </c>
      <c r="G45">
        <v>1</v>
      </c>
      <c r="H45" s="5"/>
      <c r="I45" s="5"/>
      <c r="J45" s="34"/>
      <c r="K45" s="5"/>
    </row>
    <row r="46" spans="1:11" x14ac:dyDescent="0.25">
      <c r="A46" t="s">
        <v>27</v>
      </c>
      <c r="B46" t="s">
        <v>28</v>
      </c>
      <c r="C46" s="4">
        <v>4100</v>
      </c>
      <c r="D46" s="33">
        <v>924.20023870243767</v>
      </c>
      <c r="E46" s="16"/>
      <c r="F46" s="3">
        <v>7.0000000000000007E-2</v>
      </c>
      <c r="G46">
        <v>1</v>
      </c>
      <c r="H46" s="5"/>
      <c r="I46" s="5"/>
      <c r="J46" s="34"/>
      <c r="K46" s="5"/>
    </row>
    <row r="47" spans="1:11" x14ac:dyDescent="0.25">
      <c r="A47" t="s">
        <v>52</v>
      </c>
      <c r="B47" t="s">
        <v>53</v>
      </c>
      <c r="C47" s="4">
        <v>2900</v>
      </c>
      <c r="D47" s="33">
        <v>653.70260786269989</v>
      </c>
      <c r="E47" s="16"/>
      <c r="F47" s="3">
        <v>0.05</v>
      </c>
      <c r="G47">
        <v>1</v>
      </c>
      <c r="H47" s="5"/>
      <c r="I47" s="5"/>
      <c r="J47" s="34"/>
      <c r="K47" s="5"/>
    </row>
    <row r="48" spans="1:11" x14ac:dyDescent="0.25">
      <c r="A48" t="s">
        <v>18</v>
      </c>
      <c r="B48" t="s">
        <v>19</v>
      </c>
      <c r="C48" s="4">
        <v>2900</v>
      </c>
      <c r="D48" s="33">
        <v>653.70260786269989</v>
      </c>
      <c r="E48" s="16"/>
      <c r="F48" s="3">
        <v>0.05</v>
      </c>
      <c r="G48">
        <v>2</v>
      </c>
      <c r="H48" s="5"/>
      <c r="I48" s="5"/>
      <c r="J48" s="34"/>
      <c r="K48" s="5"/>
    </row>
    <row r="49" spans="1:11" x14ac:dyDescent="0.25">
      <c r="A49" t="s">
        <v>29</v>
      </c>
      <c r="B49" t="s">
        <v>30</v>
      </c>
      <c r="C49" s="4">
        <v>3400</v>
      </c>
      <c r="D49" s="33">
        <v>766.409954045924</v>
      </c>
      <c r="E49" s="16"/>
      <c r="F49" s="3">
        <v>0.05</v>
      </c>
      <c r="G49">
        <v>2</v>
      </c>
      <c r="H49" s="5"/>
      <c r="I49" s="5"/>
      <c r="J49" s="34"/>
      <c r="K49" s="5"/>
    </row>
    <row r="50" spans="1:11" x14ac:dyDescent="0.25">
      <c r="A50" t="s">
        <v>2</v>
      </c>
      <c r="B50" t="s">
        <v>3</v>
      </c>
      <c r="C50" s="4">
        <v>4600</v>
      </c>
      <c r="D50" s="33">
        <v>1036.9075848856619</v>
      </c>
      <c r="E50" s="16"/>
      <c r="F50" s="3">
        <v>0.1</v>
      </c>
      <c r="G50">
        <v>1</v>
      </c>
      <c r="H50" s="5"/>
      <c r="I50" s="5"/>
      <c r="J50" s="34"/>
      <c r="K50" s="5"/>
    </row>
    <row r="51" spans="1:11" x14ac:dyDescent="0.25">
      <c r="A51" t="s">
        <v>52</v>
      </c>
      <c r="B51" t="s">
        <v>53</v>
      </c>
      <c r="C51" s="4">
        <v>4200</v>
      </c>
      <c r="D51" s="33">
        <v>946.74170793908252</v>
      </c>
      <c r="E51" s="16"/>
      <c r="F51" s="3">
        <v>7.0000000000000007E-2</v>
      </c>
      <c r="G51">
        <v>1</v>
      </c>
      <c r="H51" s="5"/>
      <c r="I51" s="5"/>
      <c r="J51" s="34"/>
      <c r="K51" s="5"/>
    </row>
    <row r="52" spans="1:11" x14ac:dyDescent="0.25">
      <c r="A52" t="s">
        <v>84</v>
      </c>
      <c r="B52" t="s">
        <v>85</v>
      </c>
      <c r="C52" s="4">
        <v>4600</v>
      </c>
      <c r="D52" s="33">
        <v>1036.9075848856619</v>
      </c>
      <c r="E52" s="16"/>
      <c r="F52" s="3">
        <v>0.05</v>
      </c>
      <c r="H52" s="5"/>
      <c r="I52" s="5"/>
      <c r="J52" s="34"/>
      <c r="K52" s="5"/>
    </row>
    <row r="53" spans="1:11" x14ac:dyDescent="0.25">
      <c r="A53" t="s">
        <v>12</v>
      </c>
      <c r="B53" t="s">
        <v>24</v>
      </c>
      <c r="C53" s="4">
        <v>12200</v>
      </c>
      <c r="D53" s="33">
        <v>2750.0592468706682</v>
      </c>
      <c r="E53" s="16"/>
      <c r="F53" s="3">
        <v>0.09</v>
      </c>
      <c r="G53">
        <v>3</v>
      </c>
      <c r="H53" s="5"/>
      <c r="I53" s="5"/>
      <c r="J53" s="34"/>
      <c r="K53" s="5"/>
    </row>
    <row r="54" spans="1:11" x14ac:dyDescent="0.25">
      <c r="A54" t="s">
        <v>58</v>
      </c>
      <c r="B54" t="s">
        <v>59</v>
      </c>
      <c r="C54" s="4">
        <v>2900</v>
      </c>
      <c r="D54" s="33">
        <v>653.70260786269989</v>
      </c>
      <c r="E54" s="16"/>
      <c r="F54" s="3">
        <v>0.15</v>
      </c>
      <c r="G54">
        <v>1</v>
      </c>
      <c r="H54" s="5"/>
      <c r="I54" s="5"/>
      <c r="J54" s="34"/>
      <c r="K54" s="5"/>
    </row>
    <row r="55" spans="1:11" x14ac:dyDescent="0.25">
      <c r="A55" t="s">
        <v>12</v>
      </c>
      <c r="B55" t="s">
        <v>30</v>
      </c>
      <c r="C55" s="4">
        <v>4100</v>
      </c>
      <c r="D55" s="33">
        <v>924.20023870243767</v>
      </c>
      <c r="E55" s="16"/>
      <c r="F55" s="3">
        <v>3.3111111111111098E-2</v>
      </c>
      <c r="G55">
        <v>2</v>
      </c>
      <c r="H55" s="5"/>
      <c r="I55" s="5"/>
      <c r="J55" s="34"/>
      <c r="K55" s="5"/>
    </row>
    <row r="56" spans="1:11" x14ac:dyDescent="0.25">
      <c r="A56" t="s">
        <v>80</v>
      </c>
      <c r="B56" t="s">
        <v>57</v>
      </c>
      <c r="C56" s="4">
        <v>13500</v>
      </c>
      <c r="D56" s="33">
        <v>3043.0983469470511</v>
      </c>
      <c r="E56" s="16"/>
      <c r="F56" s="3">
        <v>0.1</v>
      </c>
      <c r="G56">
        <v>1</v>
      </c>
      <c r="H56" s="5"/>
      <c r="I56" s="5"/>
      <c r="J56" s="34"/>
      <c r="K56" s="5"/>
    </row>
    <row r="57" spans="1:11" x14ac:dyDescent="0.25">
      <c r="A57" t="s">
        <v>76</v>
      </c>
      <c r="B57" t="s">
        <v>77</v>
      </c>
      <c r="C57" s="4">
        <v>4300</v>
      </c>
      <c r="D57" s="33">
        <v>969.28317717572736</v>
      </c>
      <c r="E57" s="16"/>
      <c r="F57" s="3">
        <v>7.0000000000000007E-2</v>
      </c>
      <c r="H57" s="5"/>
      <c r="I57" s="5"/>
      <c r="J57" s="34"/>
      <c r="K57" s="5"/>
    </row>
    <row r="58" spans="1:11" x14ac:dyDescent="0.25">
      <c r="A58" t="s">
        <v>76</v>
      </c>
      <c r="B58" t="s">
        <v>77</v>
      </c>
      <c r="C58" s="4">
        <v>3800</v>
      </c>
      <c r="D58" s="33">
        <v>856.57583099250326</v>
      </c>
      <c r="E58" s="16"/>
      <c r="F58" s="3">
        <v>0.05</v>
      </c>
      <c r="G58">
        <v>1</v>
      </c>
      <c r="H58" s="5"/>
      <c r="I58" s="5"/>
      <c r="J58" s="34"/>
      <c r="K58" s="5"/>
    </row>
    <row r="59" spans="1:11" x14ac:dyDescent="0.25">
      <c r="A59" t="s">
        <v>8</v>
      </c>
      <c r="B59" t="s">
        <v>9</v>
      </c>
      <c r="C59" s="4">
        <v>4300</v>
      </c>
      <c r="D59" s="33">
        <v>969.28317717572736</v>
      </c>
      <c r="E59" s="16"/>
      <c r="F59" s="3">
        <v>7.0000000000000007E-2</v>
      </c>
      <c r="G59">
        <v>1</v>
      </c>
      <c r="H59" s="5"/>
      <c r="I59" s="5"/>
      <c r="J59" s="34"/>
      <c r="K59" s="5"/>
    </row>
    <row r="60" spans="1:11" x14ac:dyDescent="0.25">
      <c r="A60" t="s">
        <v>4</v>
      </c>
      <c r="B60" t="s">
        <v>5</v>
      </c>
      <c r="C60" s="4">
        <v>3800</v>
      </c>
      <c r="D60" s="33">
        <v>856.57583099250326</v>
      </c>
      <c r="E60" s="16"/>
      <c r="F60" s="3">
        <v>0.06</v>
      </c>
      <c r="G60">
        <v>2</v>
      </c>
      <c r="H60" s="5"/>
      <c r="I60" s="5"/>
      <c r="J60" s="34"/>
      <c r="K60" s="5"/>
    </row>
    <row r="61" spans="1:11" x14ac:dyDescent="0.25">
      <c r="A61" t="s">
        <v>79</v>
      </c>
      <c r="B61" t="s">
        <v>47</v>
      </c>
      <c r="C61" s="4">
        <v>4600</v>
      </c>
      <c r="D61" s="33">
        <v>1036.9075848856619</v>
      </c>
      <c r="E61" s="16"/>
      <c r="F61" s="3">
        <v>0.1</v>
      </c>
      <c r="H61" s="5"/>
      <c r="I61" s="5"/>
      <c r="J61" s="34"/>
      <c r="K61" s="5"/>
    </row>
    <row r="62" spans="1:11" x14ac:dyDescent="0.25">
      <c r="A62" t="s">
        <v>22</v>
      </c>
      <c r="B62" t="s">
        <v>23</v>
      </c>
      <c r="C62" s="4">
        <v>5000</v>
      </c>
      <c r="D62" s="33">
        <v>1127.073461832241</v>
      </c>
      <c r="E62" s="16"/>
      <c r="F62" s="3">
        <v>0.05</v>
      </c>
      <c r="G62">
        <v>1</v>
      </c>
      <c r="H62" s="5"/>
      <c r="I62" s="5"/>
      <c r="J62" s="34"/>
      <c r="K62" s="5"/>
    </row>
    <row r="63" spans="1:11" x14ac:dyDescent="0.25">
      <c r="A63" t="s">
        <v>62</v>
      </c>
      <c r="B63" t="s">
        <v>63</v>
      </c>
      <c r="C63" s="4">
        <v>2900</v>
      </c>
      <c r="D63" s="33">
        <v>653.70260786269989</v>
      </c>
      <c r="E63" s="16"/>
      <c r="F63" s="3">
        <v>0.04</v>
      </c>
      <c r="G63">
        <v>1</v>
      </c>
      <c r="H63" s="5"/>
      <c r="I63" s="5"/>
      <c r="J63" s="34"/>
      <c r="K63" s="5"/>
    </row>
    <row r="64" spans="1:11" x14ac:dyDescent="0.25">
      <c r="A64" t="s">
        <v>80</v>
      </c>
      <c r="B64" t="s">
        <v>57</v>
      </c>
      <c r="C64" s="4">
        <v>4100</v>
      </c>
      <c r="D64" s="33">
        <v>924.20023870243767</v>
      </c>
      <c r="E64" s="16"/>
      <c r="F64" s="3">
        <v>0.06</v>
      </c>
      <c r="H64" s="5"/>
      <c r="I64" s="5"/>
      <c r="J64" s="34"/>
      <c r="K64" s="5"/>
    </row>
    <row r="65" spans="1:11" x14ac:dyDescent="0.25">
      <c r="A65" t="s">
        <v>33</v>
      </c>
      <c r="B65" t="s">
        <v>34</v>
      </c>
      <c r="C65" s="4">
        <v>4300</v>
      </c>
      <c r="D65" s="33">
        <v>969.28317717572736</v>
      </c>
      <c r="E65" s="16"/>
      <c r="F65" s="3">
        <v>0.06</v>
      </c>
      <c r="H65" s="5"/>
      <c r="I65" s="5"/>
      <c r="J65" s="34"/>
      <c r="K65" s="5"/>
    </row>
    <row r="66" spans="1:11" x14ac:dyDescent="0.25">
      <c r="A66" t="s">
        <v>78</v>
      </c>
      <c r="B66" t="s">
        <v>63</v>
      </c>
      <c r="C66" s="4">
        <v>2900</v>
      </c>
      <c r="D66" s="33">
        <v>653.70260786269989</v>
      </c>
      <c r="E66" s="16"/>
      <c r="F66" s="3">
        <v>0.05</v>
      </c>
      <c r="H66" s="5"/>
      <c r="I66" s="5"/>
      <c r="J66" s="34"/>
      <c r="K66" s="5"/>
    </row>
    <row r="67" spans="1:11" x14ac:dyDescent="0.25">
      <c r="A67" t="s">
        <v>25</v>
      </c>
      <c r="B67" t="s">
        <v>24</v>
      </c>
      <c r="C67" s="4">
        <v>4600</v>
      </c>
      <c r="D67" s="33">
        <v>1036.9075848856619</v>
      </c>
      <c r="E67" s="16"/>
      <c r="F67" s="3">
        <v>0.1</v>
      </c>
      <c r="H67" s="5"/>
      <c r="I67" s="5"/>
      <c r="J67" s="34"/>
      <c r="K67" s="5"/>
    </row>
    <row r="68" spans="1:11" x14ac:dyDescent="0.25">
      <c r="A68" t="s">
        <v>73</v>
      </c>
      <c r="B68" t="s">
        <v>74</v>
      </c>
      <c r="C68" s="4">
        <v>6200</v>
      </c>
      <c r="D68" s="33">
        <v>1397.5710926719789</v>
      </c>
      <c r="E68" s="16"/>
      <c r="F68" s="3">
        <v>0.06</v>
      </c>
      <c r="G68">
        <v>2</v>
      </c>
      <c r="H68" s="5"/>
      <c r="I68" s="5"/>
      <c r="J68" s="34"/>
      <c r="K68" s="5"/>
    </row>
    <row r="69" spans="1:11" x14ac:dyDescent="0.25">
      <c r="A69" t="s">
        <v>79</v>
      </c>
      <c r="B69" t="s">
        <v>47</v>
      </c>
      <c r="C69" s="4">
        <v>8900</v>
      </c>
      <c r="D69" s="33">
        <v>2006.1907620613893</v>
      </c>
      <c r="E69" s="16"/>
      <c r="F69" s="3">
        <v>0.04</v>
      </c>
      <c r="H69" s="5"/>
      <c r="I69" s="5"/>
      <c r="J69" s="34"/>
      <c r="K69" s="5"/>
    </row>
    <row r="70" spans="1:11" x14ac:dyDescent="0.25">
      <c r="A70" t="s">
        <v>33</v>
      </c>
      <c r="B70" t="s">
        <v>34</v>
      </c>
      <c r="C70" s="4">
        <v>3800</v>
      </c>
      <c r="D70" s="33">
        <v>856.57583099250326</v>
      </c>
      <c r="E70" s="16"/>
      <c r="F70" s="3">
        <v>0.04</v>
      </c>
      <c r="G70">
        <v>1</v>
      </c>
      <c r="H70" s="5"/>
      <c r="I70" s="5"/>
      <c r="J70" s="34"/>
      <c r="K70" s="5"/>
    </row>
    <row r="71" spans="1:11" x14ac:dyDescent="0.25">
      <c r="A71" t="s">
        <v>6</v>
      </c>
      <c r="B71" t="s">
        <v>7</v>
      </c>
      <c r="C71" s="4">
        <v>3800</v>
      </c>
      <c r="D71" s="33">
        <v>856.57583099250326</v>
      </c>
      <c r="E71" s="16"/>
      <c r="F71" s="3">
        <v>0.09</v>
      </c>
      <c r="G71">
        <v>2</v>
      </c>
      <c r="H71" s="5"/>
      <c r="I71" s="5"/>
      <c r="J71" s="34"/>
      <c r="K71" s="5"/>
    </row>
    <row r="72" spans="1:11" x14ac:dyDescent="0.25">
      <c r="A72" t="s">
        <v>66</v>
      </c>
      <c r="B72" t="s">
        <v>13</v>
      </c>
      <c r="C72" s="4">
        <v>4100</v>
      </c>
      <c r="D72" s="33">
        <v>924.20023870243767</v>
      </c>
      <c r="E72" s="16"/>
      <c r="F72" s="3">
        <v>0.09</v>
      </c>
      <c r="H72" s="5"/>
      <c r="I72" s="5"/>
      <c r="J72" s="34"/>
      <c r="K72" s="5"/>
    </row>
    <row r="73" spans="1:11" x14ac:dyDescent="0.25">
      <c r="A73" t="s">
        <v>48</v>
      </c>
      <c r="B73" t="s">
        <v>49</v>
      </c>
      <c r="C73" s="4">
        <v>3800</v>
      </c>
      <c r="D73" s="33">
        <v>856.57583099250326</v>
      </c>
      <c r="E73" s="16"/>
      <c r="F73" s="3">
        <v>0.06</v>
      </c>
      <c r="G73">
        <v>1</v>
      </c>
      <c r="H73" s="5"/>
      <c r="I73" s="5"/>
      <c r="J73" s="34"/>
      <c r="K73" s="5"/>
    </row>
    <row r="74" spans="1:11" x14ac:dyDescent="0.25">
      <c r="A74" t="s">
        <v>10</v>
      </c>
      <c r="B74" t="s">
        <v>11</v>
      </c>
      <c r="C74" s="4">
        <v>12200</v>
      </c>
      <c r="D74" s="33">
        <v>2750.0592468706682</v>
      </c>
      <c r="E74" s="16"/>
      <c r="F74" s="3">
        <v>0.1</v>
      </c>
      <c r="H74" s="5"/>
      <c r="I74" s="5"/>
      <c r="J74" s="34"/>
      <c r="K74" s="5"/>
    </row>
    <row r="75" spans="1:11" x14ac:dyDescent="0.25">
      <c r="A75" t="s">
        <v>67</v>
      </c>
      <c r="B75" t="s">
        <v>68</v>
      </c>
      <c r="C75" s="4">
        <v>2900</v>
      </c>
      <c r="D75" s="33">
        <v>653.70260786269989</v>
      </c>
      <c r="E75" s="16"/>
      <c r="F75" s="3">
        <v>0.04</v>
      </c>
      <c r="H75" s="5"/>
      <c r="I75" s="5"/>
      <c r="J75" s="34"/>
      <c r="K75" s="5"/>
    </row>
    <row r="76" spans="1:11" x14ac:dyDescent="0.25">
      <c r="A76" t="s">
        <v>37</v>
      </c>
      <c r="B76" t="s">
        <v>38</v>
      </c>
      <c r="C76" s="4">
        <v>13000</v>
      </c>
      <c r="D76" s="33">
        <v>2930.3910007638269</v>
      </c>
      <c r="E76" s="16"/>
      <c r="F76" s="3">
        <v>0.05</v>
      </c>
      <c r="G76">
        <v>1</v>
      </c>
      <c r="H76" s="5"/>
      <c r="I76" s="5"/>
      <c r="J76" s="34"/>
      <c r="K76" s="5"/>
    </row>
    <row r="77" spans="1:11" x14ac:dyDescent="0.25">
      <c r="A77" t="s">
        <v>44</v>
      </c>
      <c r="B77" t="s">
        <v>45</v>
      </c>
      <c r="C77" s="4">
        <v>4500</v>
      </c>
      <c r="D77" s="33">
        <v>1014.366115649017</v>
      </c>
      <c r="E77" s="16"/>
      <c r="F77" s="3">
        <v>0.05</v>
      </c>
      <c r="G77">
        <v>3</v>
      </c>
      <c r="H77" s="5"/>
      <c r="I77" s="5"/>
      <c r="J77" s="34"/>
      <c r="K77" s="5"/>
    </row>
    <row r="78" spans="1:11" x14ac:dyDescent="0.25">
      <c r="A78" t="s">
        <v>69</v>
      </c>
      <c r="B78" t="s">
        <v>70</v>
      </c>
      <c r="C78" s="4">
        <v>2900</v>
      </c>
      <c r="D78" s="33">
        <v>653.70260786269989</v>
      </c>
      <c r="E78" s="16"/>
      <c r="F78" s="3">
        <v>0.06</v>
      </c>
      <c r="G78">
        <v>1</v>
      </c>
      <c r="H78" s="5"/>
      <c r="I78" s="5"/>
      <c r="J78" s="34"/>
      <c r="K78" s="5"/>
    </row>
    <row r="79" spans="1:11" x14ac:dyDescent="0.25">
      <c r="A79" t="s">
        <v>81</v>
      </c>
      <c r="B79" t="s">
        <v>23</v>
      </c>
      <c r="C79" s="4">
        <v>8900</v>
      </c>
      <c r="D79" s="33">
        <v>2006.1907620613893</v>
      </c>
      <c r="E79" s="16"/>
      <c r="F79" s="3">
        <v>0.05</v>
      </c>
      <c r="G79">
        <v>2</v>
      </c>
      <c r="H79" s="5"/>
      <c r="I79" s="5"/>
      <c r="J79" s="34"/>
      <c r="K79" s="5"/>
    </row>
    <row r="80" spans="1:11" x14ac:dyDescent="0.25">
      <c r="A80" t="s">
        <v>6</v>
      </c>
      <c r="B80" t="s">
        <v>7</v>
      </c>
      <c r="C80" s="4">
        <v>8000</v>
      </c>
      <c r="D80" s="33">
        <v>1803.3175389315857</v>
      </c>
      <c r="E80" s="16"/>
      <c r="F80" s="3">
        <v>7.0000000000000007E-2</v>
      </c>
      <c r="G80">
        <v>1</v>
      </c>
      <c r="H80" s="5"/>
      <c r="I80" s="5"/>
      <c r="J80" s="34"/>
      <c r="K80" s="5"/>
    </row>
    <row r="81" spans="1:11" x14ac:dyDescent="0.25">
      <c r="A81" t="s">
        <v>62</v>
      </c>
      <c r="B81" t="s">
        <v>63</v>
      </c>
      <c r="C81" s="4">
        <v>4600</v>
      </c>
      <c r="D81" s="33">
        <v>1036.9075848856619</v>
      </c>
      <c r="E81" s="16"/>
      <c r="F81" s="3">
        <v>0.06</v>
      </c>
      <c r="H81" s="5"/>
      <c r="I81" s="5"/>
      <c r="J81" s="34"/>
      <c r="K81" s="5"/>
    </row>
    <row r="82" spans="1:11" x14ac:dyDescent="0.25">
      <c r="A82" t="s">
        <v>27</v>
      </c>
      <c r="B82" t="s">
        <v>28</v>
      </c>
      <c r="C82" s="4">
        <v>8900</v>
      </c>
      <c r="D82" s="33">
        <v>2006.1907620613893</v>
      </c>
      <c r="E82" s="16"/>
      <c r="F82" s="3">
        <v>0.05</v>
      </c>
      <c r="G82">
        <v>1</v>
      </c>
      <c r="H82" s="5"/>
      <c r="I82" s="5"/>
      <c r="J82" s="34"/>
      <c r="K82" s="5"/>
    </row>
    <row r="83" spans="1:11" x14ac:dyDescent="0.25">
      <c r="A83" t="s">
        <v>18</v>
      </c>
      <c r="B83" t="s">
        <v>19</v>
      </c>
      <c r="C83" s="4">
        <v>28000</v>
      </c>
      <c r="D83" s="33">
        <v>6311.6113862605498</v>
      </c>
      <c r="E83" s="16"/>
      <c r="F83" s="3">
        <v>0.15</v>
      </c>
      <c r="G83">
        <v>1</v>
      </c>
      <c r="H83" s="5"/>
      <c r="I83" s="5"/>
      <c r="J83" s="34"/>
      <c r="K83" s="5"/>
    </row>
    <row r="84" spans="1:11" x14ac:dyDescent="0.25">
      <c r="A84" t="s">
        <v>66</v>
      </c>
      <c r="B84" t="s">
        <v>13</v>
      </c>
      <c r="C84" s="4">
        <v>4300</v>
      </c>
      <c r="D84" s="33">
        <v>969.28317717572736</v>
      </c>
      <c r="E84" s="16"/>
      <c r="F84" s="3">
        <v>0.09</v>
      </c>
      <c r="G84">
        <v>1</v>
      </c>
      <c r="H84" s="5"/>
      <c r="I84" s="5"/>
      <c r="J84" s="34"/>
      <c r="K84" s="5"/>
    </row>
    <row r="85" spans="1:11" x14ac:dyDescent="0.25">
      <c r="A85" t="s">
        <v>18</v>
      </c>
      <c r="B85" t="s">
        <v>19</v>
      </c>
      <c r="C85" s="4">
        <v>3400</v>
      </c>
      <c r="D85" s="33">
        <v>766.409954045924</v>
      </c>
      <c r="E85" s="16"/>
      <c r="F85" s="3">
        <v>0.05</v>
      </c>
      <c r="G85">
        <v>1</v>
      </c>
      <c r="H85" s="5"/>
      <c r="I85" s="5"/>
      <c r="J85" s="34"/>
      <c r="K85" s="5"/>
    </row>
    <row r="86" spans="1:11" x14ac:dyDescent="0.25">
      <c r="A86" t="s">
        <v>4</v>
      </c>
      <c r="B86" t="s">
        <v>5</v>
      </c>
      <c r="C86" s="4">
        <v>6200</v>
      </c>
      <c r="D86" s="33">
        <v>1397.5710926719789</v>
      </c>
      <c r="E86" s="16"/>
      <c r="F86" s="3">
        <v>0.05</v>
      </c>
      <c r="G86">
        <v>3</v>
      </c>
      <c r="H86" s="5"/>
      <c r="I86" s="5"/>
      <c r="J86" s="34"/>
      <c r="K86" s="5"/>
    </row>
    <row r="87" spans="1:11" x14ac:dyDescent="0.25">
      <c r="A87" t="s">
        <v>73</v>
      </c>
      <c r="B87" t="s">
        <v>74</v>
      </c>
      <c r="C87" s="4">
        <v>4200</v>
      </c>
      <c r="D87" s="33">
        <v>946.74170793908252</v>
      </c>
      <c r="E87" s="16"/>
      <c r="F87" s="3">
        <v>0.15</v>
      </c>
      <c r="G87">
        <v>3</v>
      </c>
      <c r="H87" s="5"/>
      <c r="I87" s="5"/>
      <c r="J87" s="34"/>
      <c r="K87" s="5"/>
    </row>
    <row r="88" spans="1:11" x14ac:dyDescent="0.25">
      <c r="A88" t="s">
        <v>22</v>
      </c>
      <c r="B88" t="s">
        <v>23</v>
      </c>
      <c r="C88" s="4">
        <v>3400</v>
      </c>
      <c r="D88" s="33">
        <v>766.409954045924</v>
      </c>
      <c r="E88" s="16"/>
      <c r="F88" s="3">
        <v>0.05</v>
      </c>
      <c r="H88" s="5"/>
      <c r="I88" s="5"/>
      <c r="J88" s="34"/>
      <c r="K88" s="5"/>
    </row>
    <row r="89" spans="1:11" x14ac:dyDescent="0.25">
      <c r="A89" t="s">
        <v>48</v>
      </c>
      <c r="B89" t="s">
        <v>49</v>
      </c>
      <c r="C89" s="4">
        <v>15400</v>
      </c>
      <c r="D89" s="33">
        <v>3471.3862624433027</v>
      </c>
      <c r="E89" s="16"/>
      <c r="F89" s="3">
        <v>0.05</v>
      </c>
      <c r="H89" s="5"/>
      <c r="I89" s="5"/>
      <c r="J89" s="34"/>
      <c r="K89" s="5"/>
    </row>
    <row r="90" spans="1:11" x14ac:dyDescent="0.25">
      <c r="A90" t="s">
        <v>22</v>
      </c>
      <c r="B90" t="s">
        <v>23</v>
      </c>
      <c r="C90" s="4">
        <v>4100</v>
      </c>
      <c r="D90" s="33">
        <v>924.20023870243767</v>
      </c>
      <c r="E90" s="16"/>
      <c r="F90" s="3">
        <v>0.15</v>
      </c>
      <c r="H90" s="5"/>
      <c r="I90" s="5"/>
      <c r="J90" s="34"/>
      <c r="K90" s="5"/>
    </row>
    <row r="91" spans="1:11" x14ac:dyDescent="0.25">
      <c r="A91" t="s">
        <v>82</v>
      </c>
      <c r="B91" t="s">
        <v>83</v>
      </c>
      <c r="C91" s="4">
        <v>20000</v>
      </c>
      <c r="D91" s="33">
        <v>4508.2938473289641</v>
      </c>
      <c r="E91" s="16"/>
      <c r="F91" s="3">
        <v>0.1</v>
      </c>
      <c r="H91" s="5"/>
      <c r="I91" s="5"/>
      <c r="J91" s="34"/>
      <c r="K91" s="5"/>
    </row>
    <row r="92" spans="1:11" x14ac:dyDescent="0.25">
      <c r="A92" t="s">
        <v>25</v>
      </c>
      <c r="B92" t="s">
        <v>24</v>
      </c>
      <c r="C92" s="4">
        <v>3800</v>
      </c>
      <c r="D92" s="33">
        <v>856.57583099250326</v>
      </c>
      <c r="E92" s="16"/>
      <c r="F92" s="3">
        <v>0.06</v>
      </c>
      <c r="G92">
        <v>2</v>
      </c>
      <c r="H92" s="5"/>
      <c r="I92" s="5"/>
      <c r="J92" s="34"/>
      <c r="K92" s="5"/>
    </row>
    <row r="93" spans="1:11" x14ac:dyDescent="0.25">
      <c r="A93" t="s">
        <v>67</v>
      </c>
      <c r="B93" t="s">
        <v>68</v>
      </c>
      <c r="C93" s="4">
        <v>13500</v>
      </c>
      <c r="D93" s="33">
        <v>3043.0983469470511</v>
      </c>
      <c r="E93" s="16"/>
      <c r="F93" s="3">
        <v>0.1</v>
      </c>
      <c r="G93">
        <v>2</v>
      </c>
      <c r="H93" s="5"/>
      <c r="I93" s="5"/>
      <c r="J93" s="34"/>
      <c r="K93" s="5"/>
    </row>
    <row r="94" spans="1:11" x14ac:dyDescent="0.25">
      <c r="A94" t="s">
        <v>12</v>
      </c>
      <c r="B94" t="s">
        <v>24</v>
      </c>
      <c r="C94" s="4">
        <v>13500</v>
      </c>
      <c r="D94" s="33">
        <v>3043.0983469470511</v>
      </c>
      <c r="E94" s="16"/>
      <c r="F94" s="3">
        <v>0.06</v>
      </c>
      <c r="H94" s="5"/>
      <c r="I94" s="5"/>
      <c r="J94" s="34"/>
      <c r="K94" s="5"/>
    </row>
    <row r="95" spans="1:11" x14ac:dyDescent="0.25">
      <c r="A95" t="s">
        <v>12</v>
      </c>
      <c r="B95" t="s">
        <v>86</v>
      </c>
      <c r="C95" s="4">
        <v>4500</v>
      </c>
      <c r="D95" s="33">
        <v>1014.366115649017</v>
      </c>
      <c r="E95" s="16"/>
      <c r="F95" s="3">
        <v>0.04</v>
      </c>
      <c r="H95" s="5"/>
      <c r="I95" s="5"/>
      <c r="J95" s="34"/>
      <c r="K95" s="5"/>
    </row>
    <row r="96" spans="1:11" x14ac:dyDescent="0.25">
      <c r="A96" t="s">
        <v>58</v>
      </c>
      <c r="B96" t="s">
        <v>59</v>
      </c>
      <c r="C96" s="4">
        <v>5000</v>
      </c>
      <c r="D96" s="33">
        <v>1127.073461832241</v>
      </c>
      <c r="E96" s="16"/>
      <c r="F96" s="3">
        <v>0.1</v>
      </c>
      <c r="G96">
        <v>1</v>
      </c>
      <c r="H96" s="5"/>
      <c r="I96" s="5"/>
      <c r="J96" s="34"/>
      <c r="K96" s="5"/>
    </row>
    <row r="97" spans="1:11" x14ac:dyDescent="0.25">
      <c r="A97" t="s">
        <v>71</v>
      </c>
      <c r="B97" t="s">
        <v>72</v>
      </c>
      <c r="C97" s="4">
        <v>2900</v>
      </c>
      <c r="D97" s="33">
        <v>653.70260786269989</v>
      </c>
      <c r="E97" s="16"/>
      <c r="F97" s="3">
        <v>0.05</v>
      </c>
      <c r="H97" s="5"/>
      <c r="I97" s="5"/>
      <c r="J97" s="34"/>
      <c r="K97" s="5"/>
    </row>
    <row r="98" spans="1:11" x14ac:dyDescent="0.25">
      <c r="A98" t="s">
        <v>35</v>
      </c>
      <c r="B98" t="s">
        <v>36</v>
      </c>
      <c r="C98" s="4">
        <v>2900</v>
      </c>
      <c r="D98" s="33">
        <v>653.70260786269989</v>
      </c>
      <c r="E98" s="16"/>
      <c r="F98" s="3">
        <v>0.06</v>
      </c>
      <c r="H98" s="5"/>
      <c r="I98" s="5"/>
      <c r="J98" s="34"/>
      <c r="K98" s="5"/>
    </row>
    <row r="99" spans="1:11" x14ac:dyDescent="0.25">
      <c r="A99" t="s">
        <v>37</v>
      </c>
      <c r="B99" t="s">
        <v>38</v>
      </c>
      <c r="C99" s="4">
        <v>16000</v>
      </c>
      <c r="D99" s="33">
        <v>3606.6350778631713</v>
      </c>
      <c r="E99" s="16"/>
      <c r="F99" s="3">
        <v>0.04</v>
      </c>
      <c r="G99">
        <v>1</v>
      </c>
      <c r="H99" s="5"/>
      <c r="I99" s="5"/>
      <c r="J99" s="34"/>
      <c r="K99" s="5"/>
    </row>
    <row r="100" spans="1:11" x14ac:dyDescent="0.25">
      <c r="A100" t="s">
        <v>4</v>
      </c>
      <c r="B100" t="s">
        <v>5</v>
      </c>
      <c r="C100" s="4">
        <v>4100</v>
      </c>
      <c r="D100" s="33">
        <v>924.20023870243767</v>
      </c>
      <c r="E100" s="16"/>
      <c r="F100" s="3">
        <v>0.06</v>
      </c>
      <c r="G100">
        <v>1</v>
      </c>
      <c r="H100" s="5"/>
      <c r="I100" s="5"/>
      <c r="J100" s="34"/>
      <c r="K100" s="5"/>
    </row>
    <row r="101" spans="1:11" x14ac:dyDescent="0.25">
      <c r="A101" t="s">
        <v>81</v>
      </c>
      <c r="B101" t="s">
        <v>23</v>
      </c>
      <c r="C101" s="4">
        <v>2800</v>
      </c>
      <c r="D101" s="33">
        <v>631.16113862605505</v>
      </c>
      <c r="E101" s="16"/>
      <c r="F101" s="3">
        <v>0.05</v>
      </c>
      <c r="H101" s="5"/>
      <c r="I101" s="5"/>
      <c r="J101" s="34"/>
      <c r="K101" s="5"/>
    </row>
    <row r="102" spans="1:11" x14ac:dyDescent="0.25">
      <c r="A102" t="s">
        <v>44</v>
      </c>
      <c r="B102" t="s">
        <v>45</v>
      </c>
      <c r="C102" s="4">
        <v>20000</v>
      </c>
      <c r="D102" s="33">
        <v>4508.2938473289641</v>
      </c>
      <c r="E102" s="16"/>
      <c r="F102" s="3">
        <v>0.09</v>
      </c>
      <c r="H102" s="5"/>
      <c r="I102" s="5"/>
      <c r="J102" s="34"/>
      <c r="K102" s="5"/>
    </row>
    <row r="103" spans="1:11" x14ac:dyDescent="0.25">
      <c r="A103" t="s">
        <v>2</v>
      </c>
      <c r="B103" t="s">
        <v>3</v>
      </c>
      <c r="C103" s="4">
        <v>5000</v>
      </c>
      <c r="D103" s="33">
        <v>1127.073461832241</v>
      </c>
      <c r="E103" s="16"/>
      <c r="F103" s="3">
        <v>0.1</v>
      </c>
      <c r="H103" s="5"/>
      <c r="I103" s="5"/>
      <c r="J103" s="34"/>
      <c r="K103" s="5"/>
    </row>
    <row r="104" spans="1:11" x14ac:dyDescent="0.25">
      <c r="A104" t="s">
        <v>67</v>
      </c>
      <c r="B104" t="s">
        <v>68</v>
      </c>
      <c r="C104" s="4">
        <v>2900</v>
      </c>
      <c r="D104" s="33">
        <v>653.70260786269989</v>
      </c>
      <c r="E104" s="16"/>
      <c r="F104" s="3">
        <v>0.1</v>
      </c>
      <c r="G104">
        <v>3</v>
      </c>
      <c r="H104" s="5"/>
      <c r="I104" s="5"/>
      <c r="J104" s="34"/>
      <c r="K104" s="5"/>
    </row>
    <row r="105" spans="1:11" x14ac:dyDescent="0.25">
      <c r="A105" t="s">
        <v>60</v>
      </c>
      <c r="B105" t="s">
        <v>61</v>
      </c>
      <c r="C105" s="4">
        <v>23300</v>
      </c>
      <c r="D105" s="33">
        <v>5252.162332138244</v>
      </c>
      <c r="E105" s="16"/>
      <c r="F105" s="3">
        <v>3.1777777777777801E-2</v>
      </c>
      <c r="G105">
        <v>2</v>
      </c>
      <c r="H105" s="5"/>
      <c r="I105" s="5"/>
      <c r="J105" s="34"/>
      <c r="K105" s="5"/>
    </row>
    <row r="106" spans="1:11" x14ac:dyDescent="0.25">
      <c r="A106" t="s">
        <v>67</v>
      </c>
      <c r="B106" t="s">
        <v>68</v>
      </c>
      <c r="C106" s="4">
        <v>3800</v>
      </c>
      <c r="D106" s="33">
        <v>856.57583099250326</v>
      </c>
      <c r="E106" s="16"/>
      <c r="F106" s="3">
        <v>0.06</v>
      </c>
      <c r="H106" s="5"/>
      <c r="I106" s="5"/>
      <c r="J106" s="34"/>
      <c r="K106" s="5"/>
    </row>
    <row r="107" spans="1:11" x14ac:dyDescent="0.25">
      <c r="A107" t="s">
        <v>46</v>
      </c>
      <c r="B107" t="s">
        <v>47</v>
      </c>
      <c r="C107" s="4">
        <v>4100</v>
      </c>
      <c r="D107" s="33">
        <v>924.20023870243767</v>
      </c>
      <c r="E107" s="16"/>
      <c r="F107" s="3">
        <v>7.0000000000000007E-2</v>
      </c>
      <c r="G107">
        <v>1</v>
      </c>
      <c r="H107" s="5"/>
      <c r="I107" s="5"/>
      <c r="J107" s="34"/>
      <c r="K107" s="5"/>
    </row>
    <row r="108" spans="1:11" x14ac:dyDescent="0.25">
      <c r="A108" t="s">
        <v>26</v>
      </c>
      <c r="B108" t="s">
        <v>9</v>
      </c>
      <c r="C108" s="4">
        <v>2900</v>
      </c>
      <c r="D108" s="33">
        <v>653.70260786269989</v>
      </c>
      <c r="E108" s="16"/>
      <c r="F108" s="3">
        <v>0.1</v>
      </c>
      <c r="H108" s="5"/>
      <c r="I108" s="5"/>
      <c r="J108" s="34"/>
      <c r="K108" s="5"/>
    </row>
    <row r="109" spans="1:11" x14ac:dyDescent="0.25">
      <c r="A109" t="s">
        <v>6</v>
      </c>
      <c r="B109" t="s">
        <v>7</v>
      </c>
      <c r="C109" s="4">
        <v>4100</v>
      </c>
      <c r="D109" s="33">
        <v>924.20023870243767</v>
      </c>
      <c r="E109" s="16"/>
      <c r="F109" s="3">
        <v>0.09</v>
      </c>
      <c r="G109">
        <v>1</v>
      </c>
      <c r="H109" s="5"/>
      <c r="I109" s="5"/>
      <c r="J109" s="34"/>
      <c r="K109" s="5"/>
    </row>
    <row r="110" spans="1:11" x14ac:dyDescent="0.25">
      <c r="A110" t="s">
        <v>58</v>
      </c>
      <c r="B110" t="s">
        <v>59</v>
      </c>
      <c r="C110" s="4">
        <v>2900</v>
      </c>
      <c r="D110" s="33">
        <v>653.70260786269989</v>
      </c>
      <c r="E110" s="16"/>
      <c r="F110" s="3">
        <v>0.09</v>
      </c>
      <c r="G110">
        <v>1</v>
      </c>
      <c r="H110" s="5"/>
      <c r="I110" s="5"/>
      <c r="J110" s="34"/>
      <c r="K110" s="5"/>
    </row>
    <row r="111" spans="1:11" x14ac:dyDescent="0.25">
      <c r="A111" t="s">
        <v>18</v>
      </c>
      <c r="B111" t="s">
        <v>19</v>
      </c>
      <c r="C111" s="4">
        <v>5000</v>
      </c>
      <c r="D111" s="33">
        <v>1127.073461832241</v>
      </c>
      <c r="E111" s="16"/>
      <c r="F111" s="3">
        <v>0.09</v>
      </c>
      <c r="G111">
        <v>3</v>
      </c>
      <c r="H111" s="5"/>
      <c r="I111" s="5"/>
      <c r="J111" s="34"/>
      <c r="K111" s="5"/>
    </row>
    <row r="112" spans="1:11" x14ac:dyDescent="0.25">
      <c r="A112" t="s">
        <v>50</v>
      </c>
      <c r="B112" t="s">
        <v>51</v>
      </c>
      <c r="C112" s="4">
        <v>2900</v>
      </c>
      <c r="D112" s="33">
        <v>653.70260786269989</v>
      </c>
      <c r="E112" s="16"/>
      <c r="F112" s="3">
        <v>0.05</v>
      </c>
      <c r="G112">
        <v>1</v>
      </c>
      <c r="H112" s="5"/>
      <c r="I112" s="5"/>
      <c r="J112" s="34"/>
      <c r="K112" s="5"/>
    </row>
    <row r="113" spans="1:11" x14ac:dyDescent="0.25">
      <c r="A113" t="s">
        <v>56</v>
      </c>
      <c r="B113" t="s">
        <v>57</v>
      </c>
      <c r="C113" s="4">
        <v>2900</v>
      </c>
      <c r="D113" s="33">
        <v>653.70260786269989</v>
      </c>
      <c r="E113" s="16"/>
      <c r="F113" s="3">
        <v>0.06</v>
      </c>
      <c r="G113">
        <v>1</v>
      </c>
      <c r="H113" s="5"/>
      <c r="I113" s="5"/>
      <c r="J113" s="34"/>
      <c r="K113" s="5"/>
    </row>
    <row r="114" spans="1:11" x14ac:dyDescent="0.25">
      <c r="A114" t="s">
        <v>6</v>
      </c>
      <c r="B114" t="s">
        <v>7</v>
      </c>
      <c r="C114" s="4">
        <v>3400</v>
      </c>
      <c r="D114" s="33">
        <v>766.409954045924</v>
      </c>
      <c r="E114" s="16"/>
      <c r="F114" s="3">
        <v>0.09</v>
      </c>
      <c r="H114" s="5"/>
      <c r="I114" s="5"/>
      <c r="J114" s="34"/>
      <c r="K114" s="5"/>
    </row>
    <row r="115" spans="1:11" x14ac:dyDescent="0.25">
      <c r="A115" t="s">
        <v>40</v>
      </c>
      <c r="B115" t="s">
        <v>41</v>
      </c>
      <c r="C115" s="4">
        <v>2800</v>
      </c>
      <c r="D115" s="33">
        <v>631.16113862605505</v>
      </c>
      <c r="E115" s="16"/>
      <c r="F115" s="3">
        <v>0.15</v>
      </c>
      <c r="H115" s="5"/>
      <c r="I115" s="5"/>
      <c r="J115" s="34"/>
      <c r="K115" s="5"/>
    </row>
    <row r="116" spans="1:11" x14ac:dyDescent="0.25">
      <c r="A116" t="s">
        <v>6</v>
      </c>
      <c r="B116" t="s">
        <v>7</v>
      </c>
      <c r="C116" s="4">
        <v>3400</v>
      </c>
      <c r="D116" s="33">
        <v>766.409954045924</v>
      </c>
      <c r="E116" s="16"/>
      <c r="F116" s="3">
        <v>0.06</v>
      </c>
      <c r="H116" s="5"/>
      <c r="I116" s="5"/>
      <c r="J116" s="34"/>
      <c r="K116" s="5"/>
    </row>
    <row r="117" spans="1:11" x14ac:dyDescent="0.25">
      <c r="A117" t="s">
        <v>10</v>
      </c>
      <c r="B117" t="s">
        <v>11</v>
      </c>
      <c r="C117" s="4">
        <v>4200</v>
      </c>
      <c r="D117" s="33">
        <v>946.74170793908252</v>
      </c>
      <c r="E117" s="16"/>
      <c r="F117" s="3">
        <v>0.05</v>
      </c>
      <c r="G117">
        <v>1</v>
      </c>
      <c r="H117" s="5"/>
      <c r="I117" s="5"/>
      <c r="J117" s="34"/>
      <c r="K117" s="5"/>
    </row>
    <row r="118" spans="1:11" x14ac:dyDescent="0.25">
      <c r="A118" t="s">
        <v>84</v>
      </c>
      <c r="B118" t="s">
        <v>85</v>
      </c>
      <c r="C118" s="4">
        <v>2900</v>
      </c>
      <c r="D118" s="33">
        <v>653.70260786269989</v>
      </c>
      <c r="E118" s="16"/>
      <c r="F118" s="3">
        <v>0.06</v>
      </c>
      <c r="H118" s="5"/>
      <c r="I118" s="5"/>
      <c r="J118" s="34"/>
      <c r="K118" s="5"/>
    </row>
    <row r="119" spans="1:11" x14ac:dyDescent="0.25">
      <c r="A119" t="s">
        <v>29</v>
      </c>
      <c r="B119" t="s">
        <v>30</v>
      </c>
      <c r="C119" s="4">
        <v>4100</v>
      </c>
      <c r="D119" s="33">
        <v>924.20023870243767</v>
      </c>
      <c r="E119" s="16"/>
      <c r="F119" s="3">
        <v>0.05</v>
      </c>
      <c r="H119" s="5"/>
      <c r="I119" s="5"/>
      <c r="J119" s="34"/>
      <c r="K119" s="5"/>
    </row>
    <row r="120" spans="1:11" x14ac:dyDescent="0.25">
      <c r="A120" t="s">
        <v>79</v>
      </c>
      <c r="B120" t="s">
        <v>47</v>
      </c>
      <c r="C120" s="4">
        <v>6900</v>
      </c>
      <c r="D120" s="33">
        <v>1555.3613773284928</v>
      </c>
      <c r="E120" s="16"/>
      <c r="F120" s="3">
        <v>0.1</v>
      </c>
      <c r="H120" s="5"/>
      <c r="I120" s="5"/>
      <c r="J120" s="34"/>
      <c r="K120" s="5"/>
    </row>
    <row r="121" spans="1:11" x14ac:dyDescent="0.25">
      <c r="A121" t="s">
        <v>8</v>
      </c>
      <c r="B121" t="s">
        <v>9</v>
      </c>
      <c r="C121" s="4">
        <v>4300</v>
      </c>
      <c r="D121" s="33">
        <v>969.28317717572736</v>
      </c>
      <c r="E121" s="16"/>
      <c r="F121" s="3">
        <v>7.0000000000000007E-2</v>
      </c>
      <c r="H121" s="5"/>
      <c r="I121" s="5"/>
      <c r="J121" s="34"/>
      <c r="K121" s="5"/>
    </row>
    <row r="122" spans="1:11" x14ac:dyDescent="0.25">
      <c r="A122" t="s">
        <v>64</v>
      </c>
      <c r="B122" t="s">
        <v>65</v>
      </c>
      <c r="C122" s="4">
        <v>8000</v>
      </c>
      <c r="D122" s="33">
        <v>1803.3175389315857</v>
      </c>
      <c r="E122" s="16"/>
      <c r="F122" s="3">
        <v>0.06</v>
      </c>
      <c r="G122">
        <v>1</v>
      </c>
      <c r="H122" s="5"/>
      <c r="I122" s="5"/>
      <c r="J122" s="34"/>
      <c r="K122" s="5"/>
    </row>
    <row r="123" spans="1:11" x14ac:dyDescent="0.25">
      <c r="A123" t="s">
        <v>42</v>
      </c>
      <c r="B123" t="s">
        <v>43</v>
      </c>
      <c r="C123" s="4">
        <v>2800</v>
      </c>
      <c r="D123" s="33">
        <v>631.16113862605505</v>
      </c>
      <c r="E123" s="16"/>
      <c r="F123" s="3">
        <v>0.05</v>
      </c>
      <c r="G123">
        <v>1</v>
      </c>
      <c r="H123" s="5"/>
      <c r="I123" s="5"/>
      <c r="J123" s="34"/>
      <c r="K123" s="5"/>
    </row>
    <row r="124" spans="1:11" x14ac:dyDescent="0.25">
      <c r="A124" t="s">
        <v>14</v>
      </c>
      <c r="B124" t="s">
        <v>15</v>
      </c>
      <c r="C124" s="4">
        <v>2900</v>
      </c>
      <c r="D124" s="33">
        <v>653.70260786269989</v>
      </c>
      <c r="E124" s="16"/>
      <c r="F124" s="3">
        <v>0.04</v>
      </c>
      <c r="H124" s="5"/>
      <c r="I124" s="5"/>
      <c r="J124" s="34"/>
      <c r="K124" s="5"/>
    </row>
    <row r="125" spans="1:11" x14ac:dyDescent="0.25">
      <c r="A125" t="s">
        <v>66</v>
      </c>
      <c r="B125" t="s">
        <v>13</v>
      </c>
      <c r="C125" s="4">
        <v>2900</v>
      </c>
      <c r="D125" s="33">
        <v>653.70260786269989</v>
      </c>
      <c r="E125" s="16"/>
      <c r="F125" s="3">
        <v>7.0000000000000007E-2</v>
      </c>
      <c r="H125" s="5"/>
      <c r="I125" s="5"/>
      <c r="J125" s="34"/>
      <c r="K125" s="5"/>
    </row>
    <row r="126" spans="1:11" x14ac:dyDescent="0.25">
      <c r="A126" t="s">
        <v>29</v>
      </c>
      <c r="B126" t="s">
        <v>30</v>
      </c>
      <c r="C126" s="4">
        <v>4500</v>
      </c>
      <c r="D126" s="33">
        <v>1014.366115649017</v>
      </c>
      <c r="E126" s="16"/>
      <c r="F126" s="3">
        <v>0.05</v>
      </c>
      <c r="G126">
        <v>1</v>
      </c>
      <c r="H126" s="5"/>
      <c r="I126" s="5"/>
      <c r="J126" s="34"/>
      <c r="K126" s="5"/>
    </row>
    <row r="127" spans="1:11" x14ac:dyDescent="0.25">
      <c r="A127" t="s">
        <v>16</v>
      </c>
      <c r="B127" t="s">
        <v>17</v>
      </c>
      <c r="C127" s="4">
        <v>20000</v>
      </c>
      <c r="D127" s="33">
        <v>4508.2938473289641</v>
      </c>
      <c r="E127" s="16"/>
      <c r="F127" s="3">
        <v>0.06</v>
      </c>
      <c r="G127">
        <v>2</v>
      </c>
      <c r="H127" s="5"/>
      <c r="I127" s="5"/>
      <c r="J127" s="34"/>
      <c r="K127" s="5"/>
    </row>
    <row r="128" spans="1:11" x14ac:dyDescent="0.25">
      <c r="A128" t="s">
        <v>76</v>
      </c>
      <c r="B128" t="s">
        <v>77</v>
      </c>
      <c r="C128" s="4">
        <v>4300</v>
      </c>
      <c r="D128" s="33">
        <v>969.28317717572736</v>
      </c>
      <c r="E128" s="16"/>
      <c r="F128" s="3">
        <v>0.04</v>
      </c>
      <c r="G128">
        <v>2</v>
      </c>
      <c r="H128" s="5"/>
      <c r="I128" s="5"/>
      <c r="J128" s="34"/>
      <c r="K128" s="5"/>
    </row>
    <row r="129" spans="1:11" x14ac:dyDescent="0.25">
      <c r="A129" t="s">
        <v>39</v>
      </c>
      <c r="B129" t="s">
        <v>30</v>
      </c>
      <c r="C129" s="4">
        <v>2900</v>
      </c>
      <c r="D129" s="33">
        <v>653.70260786269989</v>
      </c>
      <c r="E129" s="16"/>
      <c r="F129" s="3">
        <v>0.1</v>
      </c>
      <c r="H129" s="5"/>
      <c r="I129" s="5"/>
      <c r="J129" s="34"/>
      <c r="K129" s="5"/>
    </row>
    <row r="130" spans="1:11" x14ac:dyDescent="0.25">
      <c r="A130" t="s">
        <v>29</v>
      </c>
      <c r="B130" t="s">
        <v>9</v>
      </c>
      <c r="C130" s="4">
        <v>3800</v>
      </c>
      <c r="D130" s="33">
        <v>856.57583099250326</v>
      </c>
      <c r="E130" s="16"/>
      <c r="F130" s="3">
        <v>7.0000000000000007E-2</v>
      </c>
      <c r="H130" s="5"/>
      <c r="I130" s="5"/>
      <c r="J130" s="34"/>
      <c r="K130" s="5"/>
    </row>
    <row r="131" spans="1:11" x14ac:dyDescent="0.25">
      <c r="A131" t="s">
        <v>12</v>
      </c>
      <c r="B131" t="s">
        <v>30</v>
      </c>
      <c r="C131" s="4">
        <v>6200</v>
      </c>
      <c r="D131" s="33">
        <v>1397.5710926719789</v>
      </c>
      <c r="E131" s="16"/>
      <c r="F131" s="3">
        <v>0.1</v>
      </c>
      <c r="G131">
        <v>2</v>
      </c>
      <c r="H131" s="5"/>
      <c r="I131" s="5"/>
      <c r="J131" s="34"/>
      <c r="K131" s="5"/>
    </row>
    <row r="132" spans="1:11" x14ac:dyDescent="0.25">
      <c r="A132" t="s">
        <v>14</v>
      </c>
      <c r="B132" t="s">
        <v>15</v>
      </c>
      <c r="C132" s="4">
        <v>11000</v>
      </c>
      <c r="D132" s="33">
        <v>2479.5616160309305</v>
      </c>
      <c r="E132" s="16"/>
      <c r="F132" s="3">
        <v>0.06</v>
      </c>
      <c r="G132">
        <v>1</v>
      </c>
      <c r="H132" s="5"/>
      <c r="I132" s="5"/>
      <c r="J132" s="34"/>
      <c r="K132" s="5"/>
    </row>
    <row r="133" spans="1:11" x14ac:dyDescent="0.25">
      <c r="A133" t="s">
        <v>18</v>
      </c>
      <c r="B133" t="s">
        <v>19</v>
      </c>
      <c r="C133" s="4">
        <v>6200</v>
      </c>
      <c r="D133" s="33">
        <v>1397.5710926719789</v>
      </c>
      <c r="E133" s="16"/>
      <c r="F133" s="3">
        <v>0.05</v>
      </c>
      <c r="G133">
        <v>2</v>
      </c>
      <c r="H133" s="5"/>
      <c r="I133" s="5"/>
      <c r="J133" s="34"/>
      <c r="K133" s="5"/>
    </row>
    <row r="134" spans="1:11" x14ac:dyDescent="0.25">
      <c r="A134" t="s">
        <v>40</v>
      </c>
      <c r="B134" t="s">
        <v>41</v>
      </c>
      <c r="C134" s="4">
        <v>4100</v>
      </c>
      <c r="D134" s="33">
        <v>924.20023870243767</v>
      </c>
      <c r="E134" s="16"/>
      <c r="F134" s="3">
        <v>7.0000000000000007E-2</v>
      </c>
      <c r="H134" s="5"/>
      <c r="I134" s="5"/>
      <c r="J134" s="34"/>
      <c r="K134" s="5"/>
    </row>
    <row r="135" spans="1:11" x14ac:dyDescent="0.25">
      <c r="A135" t="s">
        <v>78</v>
      </c>
      <c r="B135" t="s">
        <v>63</v>
      </c>
      <c r="C135" s="4">
        <v>4300</v>
      </c>
      <c r="D135" s="33">
        <v>969.28317717572736</v>
      </c>
      <c r="E135" s="16"/>
      <c r="F135" s="3">
        <v>0.06</v>
      </c>
      <c r="G135">
        <v>1</v>
      </c>
      <c r="H135" s="5"/>
      <c r="I135" s="5"/>
      <c r="J135" s="34"/>
      <c r="K135" s="5"/>
    </row>
    <row r="136" spans="1:11" x14ac:dyDescent="0.25">
      <c r="A136" t="s">
        <v>18</v>
      </c>
      <c r="B136" t="s">
        <v>19</v>
      </c>
      <c r="C136" s="4">
        <v>12200</v>
      </c>
      <c r="D136" s="33">
        <v>2750.0592468706682</v>
      </c>
      <c r="E136" s="16"/>
      <c r="F136" s="3">
        <v>0.09</v>
      </c>
      <c r="H136" s="5"/>
      <c r="I136" s="5"/>
      <c r="J136" s="34"/>
      <c r="K136" s="5"/>
    </row>
    <row r="137" spans="1:11" x14ac:dyDescent="0.25">
      <c r="A137" t="s">
        <v>52</v>
      </c>
      <c r="B137" t="s">
        <v>53</v>
      </c>
      <c r="C137" s="4">
        <v>6200</v>
      </c>
      <c r="D137" s="33">
        <v>1397.5710926719789</v>
      </c>
      <c r="E137" s="16"/>
      <c r="F137" s="3">
        <v>0.1</v>
      </c>
      <c r="H137" s="5"/>
      <c r="I137" s="5"/>
      <c r="J137" s="34"/>
      <c r="K137" s="5"/>
    </row>
    <row r="138" spans="1:11" x14ac:dyDescent="0.25">
      <c r="A138" t="s">
        <v>26</v>
      </c>
      <c r="B138" t="s">
        <v>9</v>
      </c>
      <c r="C138" s="4">
        <v>4500</v>
      </c>
      <c r="D138" s="33">
        <v>1014.366115649017</v>
      </c>
      <c r="E138" s="16"/>
      <c r="F138" s="3">
        <v>0.09</v>
      </c>
      <c r="G138">
        <v>2</v>
      </c>
      <c r="H138" s="5"/>
      <c r="I138" s="5"/>
      <c r="J138" s="34"/>
      <c r="K138" s="5"/>
    </row>
    <row r="139" spans="1:11" x14ac:dyDescent="0.25">
      <c r="A139" t="s">
        <v>84</v>
      </c>
      <c r="B139" t="s">
        <v>85</v>
      </c>
      <c r="C139" s="4">
        <v>3800</v>
      </c>
      <c r="D139" s="33">
        <v>856.57583099250326</v>
      </c>
      <c r="E139" s="16"/>
      <c r="F139" s="3">
        <v>0.05</v>
      </c>
      <c r="G139">
        <v>1</v>
      </c>
      <c r="H139" s="5"/>
      <c r="I139" s="5"/>
      <c r="J139" s="34"/>
      <c r="K139" s="5"/>
    </row>
    <row r="140" spans="1:11" x14ac:dyDescent="0.25">
      <c r="A140" t="s">
        <v>29</v>
      </c>
      <c r="B140" t="s">
        <v>30</v>
      </c>
      <c r="C140" s="4">
        <v>16000</v>
      </c>
      <c r="D140" s="33">
        <v>3606.6350778631713</v>
      </c>
      <c r="E140" s="16"/>
      <c r="F140" s="3">
        <v>0.15</v>
      </c>
      <c r="H140" s="5"/>
      <c r="I140" s="5"/>
      <c r="J140" s="34"/>
      <c r="K140" s="5"/>
    </row>
    <row r="141" spans="1:11" x14ac:dyDescent="0.25">
      <c r="A141" t="s">
        <v>8</v>
      </c>
      <c r="B141" t="s">
        <v>9</v>
      </c>
      <c r="C141" s="4">
        <v>25000</v>
      </c>
      <c r="D141" s="33">
        <v>5635.3673091612054</v>
      </c>
      <c r="E141" s="16"/>
      <c r="F141" s="3">
        <v>0.08</v>
      </c>
      <c r="H141" s="5"/>
      <c r="I141" s="5"/>
      <c r="J141" s="34"/>
      <c r="K141" s="5"/>
    </row>
    <row r="142" spans="1:11" x14ac:dyDescent="0.25">
      <c r="A142" t="s">
        <v>73</v>
      </c>
      <c r="B142" t="s">
        <v>74</v>
      </c>
      <c r="C142" s="4">
        <v>15400</v>
      </c>
      <c r="D142" s="33">
        <v>3471.3862624433027</v>
      </c>
      <c r="E142" s="16"/>
      <c r="F142" s="3">
        <v>0.06</v>
      </c>
      <c r="G142">
        <v>1</v>
      </c>
      <c r="H142" s="5"/>
      <c r="I142" s="5"/>
      <c r="J142" s="34"/>
      <c r="K142" s="5"/>
    </row>
    <row r="143" spans="1:11" x14ac:dyDescent="0.25">
      <c r="A143" t="s">
        <v>33</v>
      </c>
      <c r="B143" t="s">
        <v>34</v>
      </c>
      <c r="C143" s="4">
        <v>13500</v>
      </c>
      <c r="D143" s="33">
        <v>3043.0983469470511</v>
      </c>
      <c r="E143" s="16"/>
      <c r="F143" s="3">
        <v>0.1</v>
      </c>
      <c r="H143" s="5"/>
      <c r="I143" s="5"/>
      <c r="J143" s="34"/>
      <c r="K143" s="5"/>
    </row>
    <row r="144" spans="1:11" x14ac:dyDescent="0.25">
      <c r="A144" t="s">
        <v>29</v>
      </c>
      <c r="B144" t="s">
        <v>9</v>
      </c>
      <c r="C144" s="4">
        <v>2900</v>
      </c>
      <c r="D144" s="33">
        <v>653.70260786269989</v>
      </c>
      <c r="E144" s="16"/>
      <c r="F144" s="3">
        <v>0.15</v>
      </c>
      <c r="G144">
        <v>2</v>
      </c>
      <c r="H144" s="5"/>
      <c r="I144" s="5"/>
      <c r="J144" s="34"/>
      <c r="K144" s="5"/>
    </row>
    <row r="145" spans="1:11" x14ac:dyDescent="0.25">
      <c r="A145" t="s">
        <v>50</v>
      </c>
      <c r="B145" t="s">
        <v>51</v>
      </c>
      <c r="C145" s="4">
        <v>4500</v>
      </c>
      <c r="D145" s="33">
        <v>1014.366115649017</v>
      </c>
      <c r="E145" s="16"/>
      <c r="F145" s="3">
        <v>7.0000000000000007E-2</v>
      </c>
      <c r="G145">
        <v>1</v>
      </c>
      <c r="H145" s="5"/>
      <c r="I145" s="5"/>
      <c r="J145" s="34"/>
      <c r="K145" s="5"/>
    </row>
    <row r="146" spans="1:11" x14ac:dyDescent="0.25">
      <c r="A146" t="s">
        <v>35</v>
      </c>
      <c r="B146" t="s">
        <v>36</v>
      </c>
      <c r="C146" s="4">
        <v>4300</v>
      </c>
      <c r="D146" s="33">
        <v>969.28317717572736</v>
      </c>
      <c r="E146" s="16"/>
      <c r="F146" s="3">
        <v>0.1</v>
      </c>
      <c r="H146" s="5"/>
      <c r="I146" s="5"/>
      <c r="J146" s="34"/>
      <c r="K146" s="5"/>
    </row>
    <row r="147" spans="1:11" x14ac:dyDescent="0.25">
      <c r="A147" t="s">
        <v>12</v>
      </c>
      <c r="B147" t="s">
        <v>30</v>
      </c>
      <c r="C147" s="4">
        <v>2900</v>
      </c>
      <c r="D147" s="33">
        <v>653.70260786269989</v>
      </c>
      <c r="E147" s="16"/>
      <c r="F147" s="3">
        <v>0.15</v>
      </c>
      <c r="H147" s="5"/>
      <c r="I147" s="5"/>
      <c r="J147" s="34"/>
      <c r="K147" s="5"/>
    </row>
    <row r="148" spans="1:11" x14ac:dyDescent="0.25">
      <c r="A148" t="s">
        <v>12</v>
      </c>
      <c r="B148" t="s">
        <v>13</v>
      </c>
      <c r="C148" s="4">
        <v>4200</v>
      </c>
      <c r="D148" s="33">
        <v>946.74170793908252</v>
      </c>
      <c r="E148" s="16"/>
      <c r="F148" s="3">
        <v>7.0000000000000007E-2</v>
      </c>
      <c r="H148" s="5"/>
      <c r="I148" s="5"/>
      <c r="J148" s="34"/>
      <c r="K148" s="5"/>
    </row>
    <row r="149" spans="1:11" x14ac:dyDescent="0.25">
      <c r="A149" t="s">
        <v>14</v>
      </c>
      <c r="B149" t="s">
        <v>15</v>
      </c>
      <c r="C149" s="4">
        <v>2900</v>
      </c>
      <c r="D149" s="33">
        <v>653.70260786269989</v>
      </c>
      <c r="E149" s="16"/>
      <c r="F149" s="3">
        <v>0.06</v>
      </c>
      <c r="H149" s="5"/>
      <c r="I149" s="5"/>
      <c r="J149" s="34"/>
      <c r="K149" s="5"/>
    </row>
    <row r="150" spans="1:11" x14ac:dyDescent="0.25">
      <c r="A150" t="s">
        <v>25</v>
      </c>
      <c r="B150" t="s">
        <v>24</v>
      </c>
      <c r="C150" s="4">
        <v>8000</v>
      </c>
      <c r="D150" s="33">
        <v>1803.3175389315857</v>
      </c>
      <c r="E150" s="16"/>
      <c r="F150" s="3">
        <v>0.06</v>
      </c>
      <c r="G150">
        <v>1</v>
      </c>
      <c r="H150" s="5"/>
      <c r="I150" s="5"/>
      <c r="J150" s="34"/>
      <c r="K150" s="5"/>
    </row>
    <row r="151" spans="1:11" x14ac:dyDescent="0.25">
      <c r="A151" t="s">
        <v>48</v>
      </c>
      <c r="B151" t="s">
        <v>49</v>
      </c>
      <c r="C151" s="4">
        <v>4300</v>
      </c>
      <c r="D151" s="33">
        <v>969.28317717572736</v>
      </c>
      <c r="E151" s="16"/>
      <c r="F151" s="3">
        <v>0.06</v>
      </c>
      <c r="G151">
        <v>3</v>
      </c>
      <c r="H151" s="5"/>
      <c r="I151" s="5"/>
      <c r="J151" s="34"/>
      <c r="K151" s="5"/>
    </row>
    <row r="152" spans="1:11" x14ac:dyDescent="0.25">
      <c r="A152" t="s">
        <v>2</v>
      </c>
      <c r="B152" t="s">
        <v>3</v>
      </c>
      <c r="C152" s="4">
        <v>5000</v>
      </c>
      <c r="D152" s="33">
        <v>1127.073461832241</v>
      </c>
      <c r="E152" s="16"/>
      <c r="F152" s="3">
        <v>0.05</v>
      </c>
      <c r="H152" s="5"/>
      <c r="I152" s="5"/>
      <c r="J152" s="34"/>
      <c r="K152" s="5"/>
    </row>
    <row r="153" spans="1:11" x14ac:dyDescent="0.25">
      <c r="A153" t="s">
        <v>22</v>
      </c>
      <c r="B153" t="s">
        <v>23</v>
      </c>
      <c r="C153" s="4">
        <v>23300</v>
      </c>
      <c r="D153" s="33">
        <v>5252.162332138244</v>
      </c>
      <c r="E153" s="16"/>
      <c r="F153" s="3">
        <v>0.06</v>
      </c>
      <c r="H153" s="5"/>
      <c r="I153" s="5"/>
      <c r="J153" s="34"/>
      <c r="K153" s="5"/>
    </row>
    <row r="154" spans="1:11" x14ac:dyDescent="0.25">
      <c r="A154" t="s">
        <v>12</v>
      </c>
      <c r="B154" t="s">
        <v>13</v>
      </c>
      <c r="C154" s="4">
        <v>4200</v>
      </c>
      <c r="D154" s="33">
        <v>946.74170793908252</v>
      </c>
      <c r="E154" s="16"/>
      <c r="F154" s="3">
        <v>0.05</v>
      </c>
      <c r="G154">
        <v>2</v>
      </c>
      <c r="H154" s="5"/>
      <c r="I154" s="5"/>
      <c r="J154" s="34"/>
      <c r="K154" s="5"/>
    </row>
    <row r="155" spans="1:11" x14ac:dyDescent="0.25">
      <c r="A155" t="s">
        <v>69</v>
      </c>
      <c r="B155" t="s">
        <v>70</v>
      </c>
      <c r="C155" s="4">
        <v>10000</v>
      </c>
      <c r="D155" s="33">
        <v>2254.1469236644821</v>
      </c>
      <c r="E155" s="16"/>
      <c r="F155" s="3">
        <v>0.09</v>
      </c>
      <c r="G155">
        <v>1</v>
      </c>
      <c r="H155" s="5"/>
      <c r="I155" s="5"/>
      <c r="J155" s="34"/>
      <c r="K155" s="5"/>
    </row>
    <row r="156" spans="1:11" x14ac:dyDescent="0.25">
      <c r="A156" t="s">
        <v>75</v>
      </c>
      <c r="B156" t="s">
        <v>21</v>
      </c>
      <c r="C156" s="4">
        <v>4100</v>
      </c>
      <c r="D156" s="33">
        <v>924.20023870243767</v>
      </c>
      <c r="E156" s="16"/>
      <c r="F156" s="3">
        <v>0.15</v>
      </c>
      <c r="H156" s="5"/>
      <c r="I156" s="5"/>
      <c r="J156" s="34"/>
      <c r="K156" s="5"/>
    </row>
    <row r="157" spans="1:11" x14ac:dyDescent="0.25">
      <c r="A157" t="s">
        <v>20</v>
      </c>
      <c r="B157" t="s">
        <v>21</v>
      </c>
      <c r="C157" s="4">
        <v>7700</v>
      </c>
      <c r="D157" s="33">
        <v>1735.6931312216514</v>
      </c>
      <c r="E157" s="16"/>
      <c r="F157" s="3">
        <v>0.05</v>
      </c>
      <c r="G157">
        <v>3</v>
      </c>
      <c r="H157" s="5"/>
      <c r="I157" s="5"/>
      <c r="J157" s="34"/>
      <c r="K157" s="5"/>
    </row>
    <row r="158" spans="1:11" x14ac:dyDescent="0.25">
      <c r="A158" t="s">
        <v>4</v>
      </c>
      <c r="B158" t="s">
        <v>5</v>
      </c>
      <c r="C158" s="4">
        <v>4100</v>
      </c>
      <c r="D158" s="33">
        <v>924.20023870243767</v>
      </c>
      <c r="E158" s="16"/>
      <c r="F158" s="3">
        <v>0.04</v>
      </c>
      <c r="G158">
        <v>1</v>
      </c>
      <c r="H158" s="5"/>
      <c r="I158" s="5"/>
      <c r="J158" s="34"/>
      <c r="K158" s="5"/>
    </row>
    <row r="159" spans="1:11" x14ac:dyDescent="0.25">
      <c r="A159" t="s">
        <v>16</v>
      </c>
      <c r="B159" t="s">
        <v>17</v>
      </c>
      <c r="C159" s="4">
        <v>7700</v>
      </c>
      <c r="D159" s="33">
        <v>1735.6931312216514</v>
      </c>
      <c r="E159" s="16"/>
      <c r="F159" s="3">
        <v>0.05</v>
      </c>
      <c r="H159" s="5"/>
      <c r="I159" s="5"/>
      <c r="J159" s="34"/>
      <c r="K159" s="5"/>
    </row>
    <row r="160" spans="1:11" x14ac:dyDescent="0.25">
      <c r="A160" t="s">
        <v>81</v>
      </c>
      <c r="B160" t="s">
        <v>23</v>
      </c>
      <c r="C160" s="4">
        <v>23300</v>
      </c>
      <c r="D160" s="33">
        <v>5252.162332138244</v>
      </c>
      <c r="E160" s="16"/>
      <c r="F160" s="3">
        <v>5.0000000000000001E-3</v>
      </c>
      <c r="H160" s="5"/>
      <c r="I160" s="5"/>
      <c r="J160" s="34"/>
      <c r="K160" s="5"/>
    </row>
    <row r="161" spans="1:11" x14ac:dyDescent="0.25">
      <c r="A161" t="s">
        <v>12</v>
      </c>
      <c r="B161" t="s">
        <v>3</v>
      </c>
      <c r="C161" s="4">
        <v>13500</v>
      </c>
      <c r="D161" s="33">
        <v>3043.0983469470511</v>
      </c>
      <c r="E161" s="16"/>
      <c r="F161" s="3">
        <v>0.04</v>
      </c>
      <c r="H161" s="5"/>
      <c r="I161" s="5"/>
      <c r="J161" s="34"/>
      <c r="K161" s="5"/>
    </row>
    <row r="162" spans="1:11" x14ac:dyDescent="0.25">
      <c r="A162" t="s">
        <v>35</v>
      </c>
      <c r="B162" t="s">
        <v>36</v>
      </c>
      <c r="C162" s="4">
        <v>12200</v>
      </c>
      <c r="D162" s="33">
        <v>2750.0592468706682</v>
      </c>
      <c r="E162" s="16"/>
      <c r="F162" s="3">
        <v>0.1</v>
      </c>
      <c r="H162" s="5"/>
      <c r="I162" s="5"/>
      <c r="J162" s="34"/>
      <c r="K162" s="5"/>
    </row>
    <row r="163" spans="1:11" x14ac:dyDescent="0.25">
      <c r="A163" t="s">
        <v>50</v>
      </c>
      <c r="B163" t="s">
        <v>51</v>
      </c>
      <c r="C163" s="4">
        <v>2900</v>
      </c>
      <c r="D163" s="33">
        <v>653.70260786269989</v>
      </c>
      <c r="E163" s="16"/>
      <c r="F163" s="3">
        <v>0.1</v>
      </c>
      <c r="H163" s="5"/>
      <c r="I163" s="5"/>
      <c r="J163" s="34"/>
      <c r="K163" s="5"/>
    </row>
    <row r="164" spans="1:11" x14ac:dyDescent="0.25">
      <c r="A164" t="s">
        <v>12</v>
      </c>
      <c r="B164" t="s">
        <v>13</v>
      </c>
      <c r="C164" s="4">
        <v>4300</v>
      </c>
      <c r="D164" s="33">
        <v>969.28317717572736</v>
      </c>
      <c r="E164" s="16"/>
      <c r="F164" s="3">
        <v>0.05</v>
      </c>
      <c r="H164" s="5"/>
      <c r="I164" s="5"/>
      <c r="J164" s="34"/>
      <c r="K164" s="5"/>
    </row>
    <row r="165" spans="1:11" x14ac:dyDescent="0.25">
      <c r="A165" t="s">
        <v>60</v>
      </c>
      <c r="B165" t="s">
        <v>61</v>
      </c>
      <c r="C165" s="4">
        <v>2800</v>
      </c>
      <c r="D165" s="33">
        <v>631.16113862605505</v>
      </c>
      <c r="E165" s="16"/>
      <c r="F165" s="3">
        <v>7.0000000000000007E-2</v>
      </c>
      <c r="G165">
        <v>1</v>
      </c>
      <c r="H165" s="5"/>
      <c r="I165" s="5"/>
      <c r="J165" s="34"/>
      <c r="K165" s="5"/>
    </row>
    <row r="166" spans="1:11" x14ac:dyDescent="0.25">
      <c r="A166" t="s">
        <v>12</v>
      </c>
      <c r="B166" t="s">
        <v>86</v>
      </c>
      <c r="C166" s="4">
        <v>2900</v>
      </c>
      <c r="D166" s="33">
        <v>653.70260786269989</v>
      </c>
      <c r="E166" s="16"/>
      <c r="F166" s="3">
        <v>0.04</v>
      </c>
      <c r="H166" s="5"/>
      <c r="I166" s="5"/>
      <c r="J166" s="34"/>
      <c r="K166" s="5"/>
    </row>
    <row r="167" spans="1:11" x14ac:dyDescent="0.25">
      <c r="A167" t="s">
        <v>2</v>
      </c>
      <c r="B167" t="s">
        <v>3</v>
      </c>
      <c r="C167" s="4">
        <v>6200</v>
      </c>
      <c r="D167" s="33">
        <v>1397.5710926719789</v>
      </c>
      <c r="E167" s="16"/>
      <c r="F167" s="3">
        <v>0.04</v>
      </c>
      <c r="H167" s="5"/>
      <c r="I167" s="5"/>
      <c r="J167" s="34"/>
      <c r="K167" s="5"/>
    </row>
    <row r="168" spans="1:11" x14ac:dyDescent="0.25">
      <c r="A168" t="s">
        <v>66</v>
      </c>
      <c r="B168" t="s">
        <v>13</v>
      </c>
      <c r="C168" s="4">
        <v>2900</v>
      </c>
      <c r="D168" s="33">
        <v>653.70260786269989</v>
      </c>
      <c r="E168" s="16"/>
      <c r="F168" s="3">
        <v>0.05</v>
      </c>
      <c r="G168">
        <v>1</v>
      </c>
      <c r="H168" s="5"/>
      <c r="I168" s="5"/>
      <c r="J168" s="34"/>
      <c r="K168" s="5"/>
    </row>
    <row r="169" spans="1:11" x14ac:dyDescent="0.25">
      <c r="A169" t="s">
        <v>84</v>
      </c>
      <c r="B169" t="s">
        <v>85</v>
      </c>
      <c r="C169" s="4">
        <v>4600</v>
      </c>
      <c r="D169" s="33">
        <v>1036.9075848856619</v>
      </c>
      <c r="E169" s="16"/>
      <c r="F169" s="3">
        <v>0.15</v>
      </c>
      <c r="H169" s="5"/>
      <c r="I169" s="5"/>
      <c r="J169" s="34"/>
      <c r="K169" s="5"/>
    </row>
    <row r="170" spans="1:11" x14ac:dyDescent="0.25">
      <c r="A170" t="s">
        <v>16</v>
      </c>
      <c r="B170" t="s">
        <v>17</v>
      </c>
      <c r="C170" s="4">
        <v>5000</v>
      </c>
      <c r="D170" s="33">
        <v>1127.073461832241</v>
      </c>
      <c r="E170" s="16"/>
      <c r="F170" s="3">
        <v>0.1</v>
      </c>
      <c r="G170">
        <v>1</v>
      </c>
      <c r="H170" s="5"/>
      <c r="I170" s="5"/>
      <c r="J170" s="34"/>
      <c r="K170" s="5"/>
    </row>
    <row r="171" spans="1:11" x14ac:dyDescent="0.25">
      <c r="A171" t="s">
        <v>52</v>
      </c>
      <c r="B171" t="s">
        <v>53</v>
      </c>
      <c r="C171" s="4">
        <v>4200</v>
      </c>
      <c r="D171" s="33">
        <v>946.74170793908252</v>
      </c>
      <c r="E171" s="16"/>
      <c r="F171" s="3">
        <v>0.05</v>
      </c>
      <c r="G171">
        <v>1</v>
      </c>
      <c r="H171" s="5"/>
      <c r="I171" s="5"/>
      <c r="J171" s="34"/>
      <c r="K171" s="5"/>
    </row>
    <row r="172" spans="1:11" x14ac:dyDescent="0.25">
      <c r="A172" t="s">
        <v>16</v>
      </c>
      <c r="B172" t="s">
        <v>17</v>
      </c>
      <c r="C172" s="4">
        <v>13500</v>
      </c>
      <c r="D172" s="33">
        <v>3043.0983469470511</v>
      </c>
      <c r="E172" s="16"/>
      <c r="F172" s="3">
        <v>0.06</v>
      </c>
      <c r="G172">
        <v>1</v>
      </c>
      <c r="H172" s="5"/>
      <c r="I172" s="5"/>
      <c r="J172" s="34"/>
      <c r="K172" s="5"/>
    </row>
    <row r="173" spans="1:11" x14ac:dyDescent="0.25">
      <c r="A173" t="s">
        <v>29</v>
      </c>
      <c r="B173" t="s">
        <v>30</v>
      </c>
      <c r="C173" s="4">
        <v>3400</v>
      </c>
      <c r="D173" s="33">
        <v>766.409954045924</v>
      </c>
      <c r="E173" s="16"/>
      <c r="F173" s="3">
        <v>7.0000000000000007E-2</v>
      </c>
      <c r="G173">
        <v>1</v>
      </c>
      <c r="H173" s="5"/>
      <c r="I173" s="5"/>
      <c r="J173" s="34"/>
      <c r="K173" s="5"/>
    </row>
    <row r="174" spans="1:11" x14ac:dyDescent="0.25">
      <c r="A174" t="s">
        <v>39</v>
      </c>
      <c r="B174" t="s">
        <v>30</v>
      </c>
      <c r="C174" s="4">
        <v>4300</v>
      </c>
      <c r="D174" s="33">
        <v>969.28317717572736</v>
      </c>
      <c r="E174" s="16"/>
      <c r="F174" s="3">
        <v>7.0000000000000007E-2</v>
      </c>
      <c r="G174">
        <v>1</v>
      </c>
      <c r="H174" s="5"/>
      <c r="I174" s="5"/>
      <c r="J174" s="34"/>
      <c r="K174" s="5"/>
    </row>
    <row r="175" spans="1:11" x14ac:dyDescent="0.25">
      <c r="A175" t="s">
        <v>40</v>
      </c>
      <c r="B175" t="s">
        <v>41</v>
      </c>
      <c r="C175" s="4">
        <v>3800</v>
      </c>
      <c r="D175" s="33">
        <v>856.57583099250326</v>
      </c>
      <c r="E175" s="16"/>
      <c r="F175" s="3">
        <v>0.09</v>
      </c>
      <c r="G175">
        <v>1</v>
      </c>
      <c r="H175" s="5"/>
      <c r="I175" s="5"/>
      <c r="J175" s="34"/>
      <c r="K175" s="5"/>
    </row>
    <row r="176" spans="1:11" x14ac:dyDescent="0.25">
      <c r="A176" t="s">
        <v>6</v>
      </c>
      <c r="B176" t="s">
        <v>7</v>
      </c>
      <c r="C176" s="4">
        <v>4300</v>
      </c>
      <c r="D176" s="33">
        <v>969.28317717572736</v>
      </c>
      <c r="E176" s="16"/>
      <c r="F176" s="3">
        <v>0.05</v>
      </c>
      <c r="H176" s="5"/>
      <c r="I176" s="5"/>
      <c r="J176" s="34"/>
      <c r="K176" s="5"/>
    </row>
    <row r="177" spans="1:11" x14ac:dyDescent="0.25">
      <c r="A177" t="s">
        <v>10</v>
      </c>
      <c r="B177" t="s">
        <v>11</v>
      </c>
      <c r="C177" s="4">
        <v>2900</v>
      </c>
      <c r="D177" s="33">
        <v>653.70260786269989</v>
      </c>
      <c r="E177" s="16"/>
      <c r="F177" s="3">
        <v>0.15</v>
      </c>
      <c r="G177">
        <v>1</v>
      </c>
      <c r="H177" s="5"/>
      <c r="I177" s="5"/>
      <c r="J177" s="34"/>
      <c r="K177" s="5"/>
    </row>
    <row r="178" spans="1:11" x14ac:dyDescent="0.25">
      <c r="A178" t="s">
        <v>12</v>
      </c>
      <c r="B178" t="s">
        <v>24</v>
      </c>
      <c r="C178" s="4">
        <v>2900</v>
      </c>
      <c r="D178" s="33">
        <v>653.70260786269989</v>
      </c>
      <c r="E178" s="16"/>
      <c r="F178" s="3">
        <v>0.05</v>
      </c>
      <c r="G178">
        <v>3</v>
      </c>
      <c r="H178" s="5"/>
      <c r="I178" s="5"/>
      <c r="J178" s="34"/>
      <c r="K178" s="5"/>
    </row>
    <row r="179" spans="1:11" x14ac:dyDescent="0.25">
      <c r="A179" t="s">
        <v>4</v>
      </c>
      <c r="B179" t="s">
        <v>5</v>
      </c>
      <c r="C179" s="4">
        <v>12200</v>
      </c>
      <c r="D179" s="33">
        <v>2750.0592468706682</v>
      </c>
      <c r="E179" s="16"/>
      <c r="F179" s="3">
        <v>0.04</v>
      </c>
      <c r="G179">
        <v>1</v>
      </c>
      <c r="H179" s="5"/>
      <c r="I179" s="5"/>
      <c r="J179" s="34"/>
      <c r="K179" s="5"/>
    </row>
    <row r="180" spans="1:11" x14ac:dyDescent="0.25">
      <c r="A180" t="s">
        <v>8</v>
      </c>
      <c r="B180" t="s">
        <v>9</v>
      </c>
      <c r="C180" s="4">
        <v>3400</v>
      </c>
      <c r="D180" s="33">
        <v>766.409954045924</v>
      </c>
      <c r="E180" s="16"/>
      <c r="F180" s="3">
        <v>0.1</v>
      </c>
      <c r="H180" s="5"/>
      <c r="I180" s="5"/>
      <c r="J180" s="34"/>
      <c r="K180" s="5"/>
    </row>
    <row r="181" spans="1:11" x14ac:dyDescent="0.25">
      <c r="A181" t="s">
        <v>71</v>
      </c>
      <c r="B181" t="s">
        <v>72</v>
      </c>
      <c r="C181" s="4">
        <v>3800</v>
      </c>
      <c r="D181" s="33">
        <v>856.57583099250326</v>
      </c>
      <c r="E181" s="16"/>
      <c r="F181" s="3">
        <v>7.0000000000000007E-2</v>
      </c>
      <c r="H181" s="5"/>
      <c r="I181" s="5"/>
      <c r="J181" s="34"/>
      <c r="K181" s="5"/>
    </row>
    <row r="182" spans="1:11" x14ac:dyDescent="0.25">
      <c r="A182" t="s">
        <v>46</v>
      </c>
      <c r="B182" t="s">
        <v>47</v>
      </c>
      <c r="C182" s="4">
        <v>4100</v>
      </c>
      <c r="D182" s="33">
        <v>924.20023870243767</v>
      </c>
      <c r="E182" s="16"/>
      <c r="F182" s="3">
        <v>0.09</v>
      </c>
      <c r="G182">
        <v>2</v>
      </c>
      <c r="H182" s="5"/>
      <c r="I182" s="5"/>
      <c r="J182" s="34"/>
      <c r="K182" s="5"/>
    </row>
    <row r="183" spans="1:11" x14ac:dyDescent="0.25">
      <c r="A183" t="s">
        <v>12</v>
      </c>
      <c r="B183" t="s">
        <v>3</v>
      </c>
      <c r="C183" s="4">
        <v>3800</v>
      </c>
      <c r="D183" s="33">
        <v>856.57583099250326</v>
      </c>
      <c r="E183" s="16"/>
      <c r="F183" s="3">
        <v>0.04</v>
      </c>
      <c r="H183" s="5"/>
      <c r="I183" s="5"/>
      <c r="J183" s="34"/>
      <c r="K183" s="5"/>
    </row>
    <row r="184" spans="1:11" x14ac:dyDescent="0.25">
      <c r="A184" t="s">
        <v>48</v>
      </c>
      <c r="B184" t="s">
        <v>49</v>
      </c>
      <c r="C184" s="4">
        <v>2900</v>
      </c>
      <c r="D184" s="33">
        <v>653.70260786269989</v>
      </c>
      <c r="E184" s="16"/>
      <c r="F184" s="3">
        <v>0.06</v>
      </c>
      <c r="G184">
        <v>1</v>
      </c>
      <c r="H184" s="5"/>
      <c r="I184" s="5"/>
      <c r="J184" s="34"/>
      <c r="K184" s="5"/>
    </row>
    <row r="185" spans="1:11" x14ac:dyDescent="0.25">
      <c r="A185" t="s">
        <v>71</v>
      </c>
      <c r="B185" t="s">
        <v>72</v>
      </c>
      <c r="C185" s="4">
        <v>3800</v>
      </c>
      <c r="D185" s="33">
        <v>856.57583099250326</v>
      </c>
      <c r="E185" s="16"/>
      <c r="F185" s="3">
        <v>7.0000000000000007E-2</v>
      </c>
      <c r="G185">
        <v>1</v>
      </c>
      <c r="H185" s="5"/>
      <c r="I185" s="5"/>
      <c r="J185" s="34"/>
      <c r="K185" s="5"/>
    </row>
    <row r="186" spans="1:11" x14ac:dyDescent="0.25">
      <c r="A186" t="s">
        <v>71</v>
      </c>
      <c r="B186" t="s">
        <v>72</v>
      </c>
      <c r="C186" s="4">
        <v>2900</v>
      </c>
      <c r="D186" s="33">
        <v>653.70260786269989</v>
      </c>
      <c r="E186" s="16"/>
      <c r="F186" s="3">
        <v>0.06</v>
      </c>
      <c r="H186" s="5"/>
      <c r="I186" s="5"/>
      <c r="J186" s="34"/>
      <c r="K186" s="5"/>
    </row>
    <row r="187" spans="1:11" x14ac:dyDescent="0.25">
      <c r="A187" t="s">
        <v>10</v>
      </c>
      <c r="B187" t="s">
        <v>11</v>
      </c>
      <c r="C187" s="4">
        <v>4500</v>
      </c>
      <c r="D187" s="33">
        <v>1014.366115649017</v>
      </c>
      <c r="E187" s="16"/>
      <c r="F187" s="3">
        <v>0.05</v>
      </c>
      <c r="G187">
        <v>1</v>
      </c>
      <c r="H187" s="5"/>
      <c r="I187" s="5"/>
      <c r="J187" s="34"/>
      <c r="K187" s="5"/>
    </row>
    <row r="188" spans="1:11" x14ac:dyDescent="0.25">
      <c r="A188" t="s">
        <v>16</v>
      </c>
      <c r="B188" t="s">
        <v>17</v>
      </c>
      <c r="C188" s="4">
        <v>4300</v>
      </c>
      <c r="D188" s="33">
        <v>969.28317717572736</v>
      </c>
      <c r="E188" s="16"/>
      <c r="F188" s="3">
        <v>0.15</v>
      </c>
      <c r="H188" s="5"/>
      <c r="I188" s="5"/>
      <c r="J188" s="34"/>
      <c r="K188" s="5"/>
    </row>
    <row r="189" spans="1:11" x14ac:dyDescent="0.25">
      <c r="A189" t="s">
        <v>52</v>
      </c>
      <c r="B189" t="s">
        <v>53</v>
      </c>
      <c r="C189" s="4">
        <v>3800</v>
      </c>
      <c r="D189" s="33">
        <v>856.57583099250326</v>
      </c>
      <c r="E189" s="16"/>
      <c r="F189" s="3">
        <v>0.06</v>
      </c>
      <c r="H189" s="5"/>
      <c r="I189" s="5"/>
      <c r="J189" s="34"/>
      <c r="K189" s="5"/>
    </row>
    <row r="190" spans="1:11" x14ac:dyDescent="0.25">
      <c r="A190" t="s">
        <v>50</v>
      </c>
      <c r="B190" t="s">
        <v>51</v>
      </c>
      <c r="C190" s="4">
        <v>2900</v>
      </c>
      <c r="D190" s="33">
        <v>653.70260786269989</v>
      </c>
      <c r="E190" s="16"/>
      <c r="F190" s="3">
        <v>0.15</v>
      </c>
      <c r="G190">
        <v>2</v>
      </c>
      <c r="H190" s="5"/>
      <c r="I190" s="5"/>
      <c r="J190" s="34"/>
      <c r="K190" s="5"/>
    </row>
    <row r="191" spans="1:11" x14ac:dyDescent="0.25">
      <c r="A191" t="s">
        <v>48</v>
      </c>
      <c r="B191" t="s">
        <v>49</v>
      </c>
      <c r="C191" s="4">
        <v>3800</v>
      </c>
      <c r="D191" s="33">
        <v>856.57583099250326</v>
      </c>
      <c r="E191" s="16"/>
      <c r="F191" s="3">
        <v>0.1</v>
      </c>
      <c r="H191" s="5"/>
      <c r="I191" s="5"/>
      <c r="J191" s="34"/>
      <c r="K191" s="5"/>
    </row>
    <row r="192" spans="1:11" x14ac:dyDescent="0.25">
      <c r="A192" t="s">
        <v>12</v>
      </c>
      <c r="B192" t="s">
        <v>3</v>
      </c>
      <c r="C192" s="4">
        <v>3400</v>
      </c>
      <c r="D192" s="33">
        <v>766.409954045924</v>
      </c>
      <c r="E192" s="16"/>
      <c r="F192" s="3">
        <v>1.8444444444444399E-2</v>
      </c>
      <c r="H192" s="5"/>
      <c r="I192" s="5"/>
      <c r="J192" s="34"/>
      <c r="K192" s="5"/>
    </row>
    <row r="193" spans="1:11" x14ac:dyDescent="0.25">
      <c r="A193" t="s">
        <v>12</v>
      </c>
      <c r="B193" t="s">
        <v>3</v>
      </c>
      <c r="C193" s="4">
        <v>4100</v>
      </c>
      <c r="D193" s="33">
        <v>924.20023870243767</v>
      </c>
      <c r="E193" s="16"/>
      <c r="F193" s="3">
        <v>0.15</v>
      </c>
      <c r="H193" s="5"/>
      <c r="I193" s="5"/>
      <c r="J193" s="34"/>
      <c r="K193" s="5"/>
    </row>
    <row r="194" spans="1:11" x14ac:dyDescent="0.25">
      <c r="A194" t="s">
        <v>56</v>
      </c>
      <c r="B194" t="s">
        <v>57</v>
      </c>
      <c r="C194" s="4">
        <v>2900</v>
      </c>
      <c r="D194" s="33">
        <v>653.70260786269989</v>
      </c>
      <c r="E194" s="16"/>
      <c r="F194" s="3">
        <v>0.06</v>
      </c>
      <c r="H194" s="5"/>
      <c r="I194" s="5"/>
      <c r="J194" s="34"/>
      <c r="K194" s="5"/>
    </row>
    <row r="195" spans="1:11" x14ac:dyDescent="0.25">
      <c r="A195" t="s">
        <v>27</v>
      </c>
      <c r="B195" t="s">
        <v>28</v>
      </c>
      <c r="C195" s="4">
        <v>20000</v>
      </c>
      <c r="D195" s="33">
        <v>4508.2938473289641</v>
      </c>
      <c r="E195" s="16"/>
      <c r="F195" s="3">
        <v>0.1</v>
      </c>
      <c r="G195">
        <v>2</v>
      </c>
      <c r="H195" s="5"/>
      <c r="I195" s="5"/>
      <c r="J195" s="34"/>
      <c r="K195" s="5"/>
    </row>
    <row r="196" spans="1:11" x14ac:dyDescent="0.25">
      <c r="A196" t="s">
        <v>16</v>
      </c>
      <c r="B196" t="s">
        <v>17</v>
      </c>
      <c r="C196" s="4">
        <v>6200</v>
      </c>
      <c r="D196" s="33">
        <v>1397.5710926719789</v>
      </c>
      <c r="E196" s="16"/>
      <c r="F196" s="3">
        <v>0.06</v>
      </c>
      <c r="G196">
        <v>1</v>
      </c>
      <c r="H196" s="5"/>
      <c r="I196" s="5"/>
      <c r="J196" s="34"/>
      <c r="K196" s="5"/>
    </row>
    <row r="197" spans="1:11" x14ac:dyDescent="0.25">
      <c r="A197" t="s">
        <v>48</v>
      </c>
      <c r="B197" t="s">
        <v>49</v>
      </c>
      <c r="C197" s="4">
        <v>2900</v>
      </c>
      <c r="D197" s="33">
        <v>653.70260786269989</v>
      </c>
      <c r="E197" s="16"/>
      <c r="F197" s="3">
        <v>0.09</v>
      </c>
      <c r="H197" s="5"/>
      <c r="I197" s="5"/>
      <c r="J197" s="34"/>
      <c r="K197" s="5"/>
    </row>
    <row r="198" spans="1:11" x14ac:dyDescent="0.25">
      <c r="A198" t="s">
        <v>29</v>
      </c>
      <c r="B198" t="s">
        <v>30</v>
      </c>
      <c r="C198" s="4">
        <v>15400</v>
      </c>
      <c r="D198" s="33">
        <v>3471.3862624433027</v>
      </c>
      <c r="E198" s="16"/>
      <c r="F198" s="3">
        <v>7.0000000000000007E-2</v>
      </c>
      <c r="G198">
        <v>1</v>
      </c>
      <c r="H198" s="5"/>
      <c r="I198" s="5"/>
      <c r="J198" s="34"/>
      <c r="K198" s="5"/>
    </row>
    <row r="199" spans="1:11" x14ac:dyDescent="0.25">
      <c r="A199" t="s">
        <v>26</v>
      </c>
      <c r="B199" t="s">
        <v>9</v>
      </c>
      <c r="C199" s="4">
        <v>4300</v>
      </c>
      <c r="D199" s="33">
        <v>969.28317717572736</v>
      </c>
      <c r="E199" s="16"/>
      <c r="F199" s="3">
        <v>0.05</v>
      </c>
      <c r="H199" s="5"/>
      <c r="I199" s="5"/>
      <c r="J199" s="34"/>
      <c r="K199" s="5"/>
    </row>
    <row r="200" spans="1:11" x14ac:dyDescent="0.25">
      <c r="A200" t="s">
        <v>84</v>
      </c>
      <c r="B200" t="s">
        <v>85</v>
      </c>
      <c r="C200" s="4">
        <v>4300</v>
      </c>
      <c r="D200" s="33">
        <v>969.28317717572736</v>
      </c>
      <c r="E200" s="16"/>
      <c r="F200" s="3">
        <v>0.06</v>
      </c>
      <c r="H200" s="5"/>
      <c r="I200" s="5"/>
      <c r="J200" s="34"/>
      <c r="K200" s="5"/>
    </row>
    <row r="201" spans="1:11" x14ac:dyDescent="0.25">
      <c r="A201" t="s">
        <v>29</v>
      </c>
      <c r="B201" t="s">
        <v>30</v>
      </c>
      <c r="C201" s="4">
        <v>13500</v>
      </c>
      <c r="D201" s="33">
        <v>3043.0983469470511</v>
      </c>
      <c r="E201" s="16"/>
      <c r="F201" s="3">
        <v>0.1</v>
      </c>
      <c r="H201" s="5"/>
      <c r="I201" s="5"/>
      <c r="J201" s="34"/>
      <c r="K201" s="5"/>
    </row>
    <row r="202" spans="1:11" x14ac:dyDescent="0.25">
      <c r="A202" t="s">
        <v>8</v>
      </c>
      <c r="B202" t="s">
        <v>9</v>
      </c>
      <c r="C202" s="4">
        <v>2900</v>
      </c>
      <c r="D202" s="33">
        <v>653.70260786269989</v>
      </c>
      <c r="E202" s="16"/>
      <c r="F202" s="3">
        <v>0.05</v>
      </c>
      <c r="H202" s="5"/>
      <c r="I202" s="5"/>
      <c r="J202" s="34"/>
      <c r="K202" s="5"/>
    </row>
    <row r="203" spans="1:11" x14ac:dyDescent="0.25">
      <c r="A203" t="s">
        <v>64</v>
      </c>
      <c r="B203" t="s">
        <v>65</v>
      </c>
      <c r="C203" s="4">
        <v>4600</v>
      </c>
      <c r="D203" s="33">
        <v>1036.9075848856619</v>
      </c>
      <c r="E203" s="16"/>
      <c r="F203" s="3">
        <v>0.05</v>
      </c>
      <c r="H203" s="5"/>
      <c r="I203" s="5"/>
      <c r="J203" s="34"/>
      <c r="K203" s="5"/>
    </row>
    <row r="204" spans="1:11" x14ac:dyDescent="0.25">
      <c r="A204" t="s">
        <v>16</v>
      </c>
      <c r="B204" t="s">
        <v>17</v>
      </c>
      <c r="C204" s="4">
        <v>23300</v>
      </c>
      <c r="D204" s="33">
        <v>5252.162332138244</v>
      </c>
      <c r="E204" s="16"/>
      <c r="F204" s="3">
        <v>0.06</v>
      </c>
      <c r="H204" s="5"/>
      <c r="I204" s="5"/>
      <c r="J204" s="34"/>
      <c r="K204" s="5"/>
    </row>
    <row r="205" spans="1:11" x14ac:dyDescent="0.25">
      <c r="A205" t="s">
        <v>16</v>
      </c>
      <c r="B205" t="s">
        <v>17</v>
      </c>
      <c r="C205" s="4">
        <v>2900</v>
      </c>
      <c r="D205" s="33">
        <v>653.70260786269989</v>
      </c>
      <c r="E205" s="16"/>
      <c r="F205" s="3">
        <v>0.1</v>
      </c>
      <c r="H205" s="5"/>
      <c r="I205" s="5"/>
      <c r="J205" s="34"/>
      <c r="K205" s="5"/>
    </row>
    <row r="206" spans="1:11" x14ac:dyDescent="0.25">
      <c r="A206" t="s">
        <v>73</v>
      </c>
      <c r="B206" t="s">
        <v>74</v>
      </c>
      <c r="C206" s="4">
        <v>4200</v>
      </c>
      <c r="D206" s="33">
        <v>946.74170793908252</v>
      </c>
      <c r="E206" s="16"/>
      <c r="F206" s="3">
        <v>0.04</v>
      </c>
      <c r="G206">
        <v>1</v>
      </c>
      <c r="H206" s="5"/>
      <c r="I206" s="5"/>
      <c r="J206" s="34"/>
      <c r="K206" s="5"/>
    </row>
    <row r="207" spans="1:11" x14ac:dyDescent="0.25">
      <c r="A207" t="s">
        <v>27</v>
      </c>
      <c r="B207" t="s">
        <v>28</v>
      </c>
      <c r="C207" s="4">
        <v>2900</v>
      </c>
      <c r="D207" s="33">
        <v>653.70260786269989</v>
      </c>
      <c r="E207" s="16"/>
      <c r="F207" s="3">
        <v>0.09</v>
      </c>
      <c r="G207">
        <v>1</v>
      </c>
      <c r="H207" s="5"/>
      <c r="I207" s="5"/>
      <c r="J207" s="34"/>
      <c r="K207" s="5"/>
    </row>
    <row r="208" spans="1:11" x14ac:dyDescent="0.25">
      <c r="A208" t="s">
        <v>35</v>
      </c>
      <c r="B208" t="s">
        <v>36</v>
      </c>
      <c r="C208" s="4">
        <v>3400</v>
      </c>
      <c r="D208" s="33">
        <v>766.409954045924</v>
      </c>
      <c r="E208" s="16"/>
      <c r="F208" s="3">
        <v>0.09</v>
      </c>
      <c r="H208" s="5"/>
      <c r="I208" s="5"/>
      <c r="J208" s="34"/>
      <c r="K208" s="5"/>
    </row>
    <row r="209" spans="1:11" x14ac:dyDescent="0.25">
      <c r="A209" t="s">
        <v>12</v>
      </c>
      <c r="B209" t="s">
        <v>13</v>
      </c>
      <c r="C209" s="4">
        <v>6900</v>
      </c>
      <c r="D209" s="33">
        <v>1555.3613773284928</v>
      </c>
      <c r="E209" s="16"/>
      <c r="F209" s="3">
        <v>0.05</v>
      </c>
      <c r="G209">
        <v>1</v>
      </c>
      <c r="H209" s="5"/>
      <c r="I209" s="5"/>
      <c r="J209" s="34"/>
      <c r="K209" s="5"/>
    </row>
    <row r="210" spans="1:11" x14ac:dyDescent="0.25">
      <c r="A210" t="s">
        <v>18</v>
      </c>
      <c r="B210" t="s">
        <v>19</v>
      </c>
      <c r="C210" s="4">
        <v>5000</v>
      </c>
      <c r="D210" s="33">
        <v>1127.073461832241</v>
      </c>
      <c r="E210" s="16"/>
      <c r="F210" s="3">
        <v>0.05</v>
      </c>
      <c r="H210" s="5"/>
      <c r="I210" s="5"/>
      <c r="J210" s="34"/>
      <c r="K210" s="5"/>
    </row>
    <row r="211" spans="1:11" x14ac:dyDescent="0.25">
      <c r="A211" t="s">
        <v>14</v>
      </c>
      <c r="B211" t="s">
        <v>15</v>
      </c>
      <c r="C211" s="4">
        <v>12200</v>
      </c>
      <c r="D211" s="33">
        <v>2750.0592468706682</v>
      </c>
      <c r="E211" s="16"/>
      <c r="F211" s="3">
        <v>0.04</v>
      </c>
      <c r="H211" s="5"/>
      <c r="I211" s="5"/>
      <c r="J211" s="34"/>
      <c r="K211" s="5"/>
    </row>
    <row r="212" spans="1:11" x14ac:dyDescent="0.25">
      <c r="A212" t="s">
        <v>75</v>
      </c>
      <c r="B212" t="s">
        <v>21</v>
      </c>
      <c r="C212" s="4">
        <v>4300</v>
      </c>
      <c r="D212" s="33">
        <v>969.28317717572736</v>
      </c>
      <c r="E212" s="16"/>
      <c r="F212" s="3">
        <v>0.15</v>
      </c>
      <c r="H212" s="5"/>
      <c r="I212" s="5"/>
      <c r="J212" s="34"/>
      <c r="K212" s="5"/>
    </row>
    <row r="213" spans="1:11" x14ac:dyDescent="0.25">
      <c r="A213" t="s">
        <v>12</v>
      </c>
      <c r="B213" t="s">
        <v>3</v>
      </c>
      <c r="C213" s="4">
        <v>3400</v>
      </c>
      <c r="D213" s="33">
        <v>766.409954045924</v>
      </c>
      <c r="E213" s="16"/>
      <c r="F213" s="3">
        <v>0.06</v>
      </c>
      <c r="G213">
        <v>1</v>
      </c>
      <c r="H213" s="5"/>
      <c r="I213" s="5"/>
      <c r="J213" s="34"/>
      <c r="K213" s="5"/>
    </row>
    <row r="214" spans="1:11" x14ac:dyDescent="0.25">
      <c r="A214" t="s">
        <v>12</v>
      </c>
      <c r="B214" t="s">
        <v>24</v>
      </c>
      <c r="C214" s="4">
        <v>2900</v>
      </c>
      <c r="D214" s="33">
        <v>653.70260786269989</v>
      </c>
      <c r="E214" s="16"/>
      <c r="F214" s="3">
        <v>7.0000000000000007E-2</v>
      </c>
      <c r="H214" s="5"/>
      <c r="I214" s="5"/>
      <c r="J214" s="34"/>
      <c r="K214" s="5"/>
    </row>
    <row r="215" spans="1:11" x14ac:dyDescent="0.25">
      <c r="A215" t="s">
        <v>42</v>
      </c>
      <c r="B215" t="s">
        <v>43</v>
      </c>
      <c r="C215" s="4">
        <v>4600</v>
      </c>
      <c r="D215" s="33">
        <v>1036.9075848856619</v>
      </c>
      <c r="E215" s="16"/>
      <c r="F215" s="3">
        <v>0.1</v>
      </c>
      <c r="H215" s="5"/>
      <c r="I215" s="5"/>
      <c r="J215" s="34"/>
      <c r="K215" s="5"/>
    </row>
    <row r="216" spans="1:11" x14ac:dyDescent="0.25">
      <c r="A216" t="s">
        <v>31</v>
      </c>
      <c r="B216" t="s">
        <v>32</v>
      </c>
      <c r="C216" s="4">
        <v>4300</v>
      </c>
      <c r="D216" s="33">
        <v>969.28317717572736</v>
      </c>
      <c r="E216" s="16"/>
      <c r="F216" s="3">
        <v>0.06</v>
      </c>
      <c r="G216">
        <v>1</v>
      </c>
      <c r="H216" s="5"/>
      <c r="I216" s="5"/>
      <c r="J216" s="34"/>
      <c r="K216" s="5"/>
    </row>
    <row r="217" spans="1:11" x14ac:dyDescent="0.25">
      <c r="A217" t="s">
        <v>20</v>
      </c>
      <c r="B217" t="s">
        <v>21</v>
      </c>
      <c r="C217" s="4">
        <v>2900</v>
      </c>
      <c r="D217" s="33">
        <v>653.70260786269989</v>
      </c>
      <c r="E217" s="16"/>
      <c r="F217" s="3">
        <v>0.04</v>
      </c>
      <c r="G217">
        <v>3</v>
      </c>
      <c r="H217" s="5"/>
      <c r="I217" s="5"/>
      <c r="J217" s="34"/>
      <c r="K217" s="5"/>
    </row>
    <row r="218" spans="1:11" x14ac:dyDescent="0.25">
      <c r="A218" t="s">
        <v>66</v>
      </c>
      <c r="B218" t="s">
        <v>13</v>
      </c>
      <c r="C218" s="4">
        <v>2900</v>
      </c>
      <c r="D218" s="33">
        <v>653.70260786269989</v>
      </c>
      <c r="E218" s="16"/>
      <c r="F218" s="3">
        <v>0.1</v>
      </c>
      <c r="H218" s="5"/>
      <c r="I218" s="5"/>
      <c r="J218" s="34"/>
      <c r="K218" s="5"/>
    </row>
    <row r="219" spans="1:11" x14ac:dyDescent="0.25">
      <c r="A219" t="s">
        <v>37</v>
      </c>
      <c r="B219" t="s">
        <v>38</v>
      </c>
      <c r="C219" s="4">
        <v>13500</v>
      </c>
      <c r="D219" s="33">
        <v>3043.0983469470511</v>
      </c>
      <c r="E219" s="16"/>
      <c r="F219" s="3">
        <v>0.1</v>
      </c>
      <c r="H219" s="5"/>
      <c r="I219" s="5"/>
      <c r="J219" s="34"/>
      <c r="K219" s="5"/>
    </row>
    <row r="220" spans="1:11" x14ac:dyDescent="0.25">
      <c r="A220" t="s">
        <v>31</v>
      </c>
      <c r="B220" t="s">
        <v>32</v>
      </c>
      <c r="C220" s="4">
        <v>7700</v>
      </c>
      <c r="D220" s="33">
        <v>1735.6931312216514</v>
      </c>
      <c r="E220" s="16"/>
      <c r="F220" s="3">
        <v>0.05</v>
      </c>
      <c r="G220">
        <v>1</v>
      </c>
      <c r="H220" s="5"/>
      <c r="I220" s="5"/>
      <c r="J220" s="34"/>
      <c r="K220" s="5"/>
    </row>
    <row r="221" spans="1:11" x14ac:dyDescent="0.25">
      <c r="A221" t="s">
        <v>76</v>
      </c>
      <c r="B221" t="s">
        <v>77</v>
      </c>
      <c r="C221" s="4">
        <v>2900</v>
      </c>
      <c r="D221" s="33">
        <v>653.70260786269989</v>
      </c>
      <c r="E221" s="16"/>
      <c r="F221" s="3">
        <v>0.06</v>
      </c>
      <c r="G221">
        <v>1</v>
      </c>
      <c r="H221" s="5"/>
      <c r="I221" s="5"/>
      <c r="J221" s="34"/>
      <c r="K221" s="5"/>
    </row>
    <row r="222" spans="1:11" x14ac:dyDescent="0.25">
      <c r="A222" t="s">
        <v>16</v>
      </c>
      <c r="B222" t="s">
        <v>17</v>
      </c>
      <c r="C222" s="4">
        <v>5000</v>
      </c>
      <c r="D222" s="33">
        <v>1127.073461832241</v>
      </c>
      <c r="E222" s="16"/>
      <c r="F222" s="3">
        <v>0.06</v>
      </c>
      <c r="H222" s="5"/>
      <c r="I222" s="5"/>
      <c r="J222" s="34"/>
      <c r="K222" s="5"/>
    </row>
    <row r="223" spans="1:11" x14ac:dyDescent="0.25">
      <c r="A223" t="s">
        <v>79</v>
      </c>
      <c r="B223" t="s">
        <v>47</v>
      </c>
      <c r="C223" s="4">
        <v>4100</v>
      </c>
      <c r="D223" s="33">
        <v>924.20023870243767</v>
      </c>
      <c r="E223" s="16"/>
      <c r="F223" s="3">
        <v>0.09</v>
      </c>
      <c r="H223" s="5"/>
      <c r="I223" s="5"/>
      <c r="J223" s="34"/>
      <c r="K223" s="5"/>
    </row>
    <row r="224" spans="1:11" x14ac:dyDescent="0.25">
      <c r="A224" t="s">
        <v>27</v>
      </c>
      <c r="B224" t="s">
        <v>28</v>
      </c>
      <c r="C224" s="4">
        <v>3400</v>
      </c>
      <c r="D224" s="33">
        <v>766.409954045924</v>
      </c>
      <c r="E224" s="16"/>
      <c r="F224" s="3">
        <v>7.0000000000000007E-2</v>
      </c>
      <c r="G224">
        <v>2</v>
      </c>
      <c r="H224" s="5"/>
      <c r="I224" s="5"/>
      <c r="J224" s="34"/>
      <c r="K224" s="5"/>
    </row>
    <row r="225" spans="1:11" x14ac:dyDescent="0.25">
      <c r="A225" t="s">
        <v>12</v>
      </c>
      <c r="B225" t="s">
        <v>24</v>
      </c>
      <c r="C225" s="4">
        <v>2800</v>
      </c>
      <c r="D225" s="33">
        <v>631.16113862605505</v>
      </c>
      <c r="E225" s="16"/>
      <c r="F225" s="3">
        <v>4.6444444444444399E-2</v>
      </c>
      <c r="G225">
        <v>4</v>
      </c>
      <c r="H225" s="5"/>
      <c r="I225" s="5"/>
      <c r="J225" s="34"/>
      <c r="K225" s="5"/>
    </row>
    <row r="226" spans="1:11" x14ac:dyDescent="0.25">
      <c r="A226" t="s">
        <v>78</v>
      </c>
      <c r="B226" t="s">
        <v>63</v>
      </c>
      <c r="C226" s="4">
        <v>12200</v>
      </c>
      <c r="D226" s="33">
        <v>2750.0592468706682</v>
      </c>
      <c r="E226" s="16"/>
      <c r="F226" s="3">
        <v>0.09</v>
      </c>
      <c r="H226" s="5"/>
      <c r="I226" s="5"/>
      <c r="J226" s="34"/>
      <c r="K226" s="5"/>
    </row>
    <row r="227" spans="1:11" x14ac:dyDescent="0.25">
      <c r="A227" t="s">
        <v>29</v>
      </c>
      <c r="B227" t="s">
        <v>9</v>
      </c>
      <c r="C227" s="4">
        <v>3800</v>
      </c>
      <c r="D227" s="33">
        <v>856.57583099250326</v>
      </c>
      <c r="E227" s="16"/>
      <c r="F227" s="3">
        <v>0.05</v>
      </c>
      <c r="H227" s="5"/>
      <c r="I227" s="5"/>
      <c r="J227" s="34"/>
      <c r="K227" s="5"/>
    </row>
    <row r="228" spans="1:11" x14ac:dyDescent="0.25">
      <c r="A228" t="s">
        <v>2</v>
      </c>
      <c r="B228" t="s">
        <v>3</v>
      </c>
      <c r="C228" s="4">
        <v>2800</v>
      </c>
      <c r="D228" s="33">
        <v>631.16113862605505</v>
      </c>
      <c r="E228" s="16"/>
      <c r="F228" s="3">
        <v>0.09</v>
      </c>
      <c r="G228">
        <v>1</v>
      </c>
      <c r="H228" s="5"/>
      <c r="I228" s="5"/>
      <c r="J228" s="34"/>
      <c r="K228" s="5"/>
    </row>
    <row r="229" spans="1:11" x14ac:dyDescent="0.25">
      <c r="A229" t="s">
        <v>29</v>
      </c>
      <c r="B229" t="s">
        <v>9</v>
      </c>
      <c r="C229" s="4">
        <v>4300</v>
      </c>
      <c r="D229" s="33">
        <v>969.28317717572736</v>
      </c>
      <c r="E229" s="16"/>
      <c r="F229" s="3">
        <v>0.15</v>
      </c>
      <c r="H229" s="5"/>
      <c r="I229" s="5"/>
      <c r="J229" s="34"/>
      <c r="K229" s="5"/>
    </row>
    <row r="230" spans="1:11" x14ac:dyDescent="0.25">
      <c r="A230" t="s">
        <v>2</v>
      </c>
      <c r="B230" t="s">
        <v>3</v>
      </c>
      <c r="C230" s="4">
        <v>2800</v>
      </c>
      <c r="D230" s="33">
        <v>631.16113862605505</v>
      </c>
      <c r="E230" s="16"/>
      <c r="F230" s="3">
        <v>7.0000000000000007E-2</v>
      </c>
      <c r="G230">
        <v>1</v>
      </c>
      <c r="H230" s="5"/>
      <c r="I230" s="5"/>
      <c r="J230" s="34"/>
      <c r="K230" s="5"/>
    </row>
    <row r="231" spans="1:11" x14ac:dyDescent="0.25">
      <c r="A231" t="s">
        <v>71</v>
      </c>
      <c r="B231" t="s">
        <v>72</v>
      </c>
      <c r="C231" s="4">
        <v>4100</v>
      </c>
      <c r="D231" s="33">
        <v>924.20023870243767</v>
      </c>
      <c r="E231" s="16"/>
      <c r="F231" s="3">
        <v>0.1</v>
      </c>
      <c r="H231" s="5"/>
      <c r="I231" s="5"/>
      <c r="J231" s="34"/>
      <c r="K231" s="5"/>
    </row>
    <row r="232" spans="1:11" x14ac:dyDescent="0.25">
      <c r="A232" t="s">
        <v>31</v>
      </c>
      <c r="B232" t="s">
        <v>32</v>
      </c>
      <c r="C232" s="4">
        <v>2800</v>
      </c>
      <c r="D232" s="33">
        <v>631.16113862605505</v>
      </c>
      <c r="E232" s="16"/>
      <c r="F232" s="3">
        <v>0.06</v>
      </c>
      <c r="H232" s="5"/>
      <c r="I232" s="5"/>
      <c r="J232" s="34"/>
      <c r="K232" s="5"/>
    </row>
    <row r="233" spans="1:11" x14ac:dyDescent="0.25">
      <c r="A233" t="s">
        <v>6</v>
      </c>
      <c r="B233" t="s">
        <v>7</v>
      </c>
      <c r="C233" s="4">
        <v>8000</v>
      </c>
      <c r="D233" s="33">
        <v>1803.3175389315857</v>
      </c>
      <c r="E233" s="16"/>
      <c r="F233" s="3">
        <v>0.06</v>
      </c>
      <c r="H233" s="5"/>
      <c r="I233" s="5"/>
      <c r="J233" s="34"/>
      <c r="K233" s="5"/>
    </row>
    <row r="234" spans="1:11" x14ac:dyDescent="0.25">
      <c r="A234" t="s">
        <v>80</v>
      </c>
      <c r="B234" t="s">
        <v>57</v>
      </c>
      <c r="C234" s="4">
        <v>2900</v>
      </c>
      <c r="D234" s="33">
        <v>653.70260786269989</v>
      </c>
      <c r="E234" s="16"/>
      <c r="F234" s="3">
        <v>0.05</v>
      </c>
      <c r="H234" s="5"/>
      <c r="I234" s="5"/>
      <c r="J234" s="34"/>
      <c r="K234" s="5"/>
    </row>
    <row r="235" spans="1:11" x14ac:dyDescent="0.25">
      <c r="A235" t="s">
        <v>56</v>
      </c>
      <c r="B235" t="s">
        <v>57</v>
      </c>
      <c r="C235" s="4">
        <v>13500</v>
      </c>
      <c r="D235" s="33">
        <v>3043.0983469470511</v>
      </c>
      <c r="E235" s="16"/>
      <c r="F235" s="3">
        <v>0.09</v>
      </c>
      <c r="G235">
        <v>2</v>
      </c>
      <c r="H235" s="5"/>
      <c r="I235" s="5"/>
      <c r="J235" s="34"/>
      <c r="K235" s="5"/>
    </row>
    <row r="236" spans="1:11" x14ac:dyDescent="0.25">
      <c r="A236" t="s">
        <v>37</v>
      </c>
      <c r="B236" t="s">
        <v>38</v>
      </c>
      <c r="C236" s="4">
        <v>4100</v>
      </c>
      <c r="D236" s="33">
        <v>924.20023870243767</v>
      </c>
      <c r="E236" s="16"/>
      <c r="F236" s="3">
        <v>0.09</v>
      </c>
      <c r="G236">
        <v>1</v>
      </c>
      <c r="H236" s="5"/>
      <c r="I236" s="5"/>
      <c r="J236" s="34"/>
      <c r="K236" s="5"/>
    </row>
    <row r="237" spans="1:11" x14ac:dyDescent="0.25">
      <c r="A237" t="s">
        <v>78</v>
      </c>
      <c r="B237" t="s">
        <v>63</v>
      </c>
      <c r="C237" s="4">
        <v>2900</v>
      </c>
      <c r="D237" s="33">
        <v>653.70260786269989</v>
      </c>
      <c r="E237" s="16"/>
      <c r="F237" s="3">
        <v>0.06</v>
      </c>
      <c r="H237" s="5"/>
      <c r="I237" s="5"/>
      <c r="J237" s="34"/>
      <c r="K237" s="5"/>
    </row>
    <row r="238" spans="1:11" x14ac:dyDescent="0.25">
      <c r="A238" t="s">
        <v>14</v>
      </c>
      <c r="B238" t="s">
        <v>15</v>
      </c>
      <c r="C238" s="4">
        <v>4300</v>
      </c>
      <c r="D238" s="33">
        <v>969.28317717572736</v>
      </c>
      <c r="E238" s="16"/>
      <c r="F238" s="3">
        <v>0.05</v>
      </c>
      <c r="G238">
        <v>1</v>
      </c>
      <c r="H238" s="5"/>
      <c r="I238" s="5"/>
      <c r="J238" s="34"/>
      <c r="K238" s="5"/>
    </row>
    <row r="239" spans="1:11" x14ac:dyDescent="0.25">
      <c r="A239" t="s">
        <v>37</v>
      </c>
      <c r="B239" t="s">
        <v>38</v>
      </c>
      <c r="C239" s="4">
        <v>6900</v>
      </c>
      <c r="D239" s="33">
        <v>1555.3613773284928</v>
      </c>
      <c r="E239" s="16"/>
      <c r="F239" s="3">
        <v>0.05</v>
      </c>
      <c r="H239" s="5"/>
      <c r="I239" s="5"/>
      <c r="J239" s="34"/>
      <c r="K239" s="5"/>
    </row>
    <row r="240" spans="1:11" x14ac:dyDescent="0.25">
      <c r="A240" t="s">
        <v>14</v>
      </c>
      <c r="B240" t="s">
        <v>15</v>
      </c>
      <c r="C240" s="4">
        <v>12200</v>
      </c>
      <c r="D240" s="33">
        <v>2750.0592468706682</v>
      </c>
      <c r="E240" s="16"/>
      <c r="F240" s="3">
        <v>0.06</v>
      </c>
      <c r="H240" s="5"/>
      <c r="I240" s="5"/>
      <c r="J240" s="34"/>
      <c r="K240" s="5"/>
    </row>
    <row r="241" spans="1:11" x14ac:dyDescent="0.25">
      <c r="A241" t="s">
        <v>4</v>
      </c>
      <c r="B241" t="s">
        <v>5</v>
      </c>
      <c r="C241" s="4">
        <v>4500</v>
      </c>
      <c r="D241" s="33">
        <v>1014.366115649017</v>
      </c>
      <c r="E241" s="16"/>
      <c r="F241" s="3">
        <v>0.06</v>
      </c>
      <c r="H241" s="5"/>
      <c r="I241" s="5"/>
      <c r="J241" s="34"/>
      <c r="K241" s="5"/>
    </row>
    <row r="242" spans="1:11" x14ac:dyDescent="0.25">
      <c r="A242" t="s">
        <v>4</v>
      </c>
      <c r="B242" t="s">
        <v>5</v>
      </c>
      <c r="C242" s="4">
        <v>4500</v>
      </c>
      <c r="D242" s="33">
        <v>1014.366115649017</v>
      </c>
      <c r="E242" s="16"/>
      <c r="F242" s="3">
        <v>0.1</v>
      </c>
      <c r="H242" s="5"/>
      <c r="I242" s="5"/>
      <c r="J242" s="34"/>
      <c r="K242" s="5"/>
    </row>
    <row r="243" spans="1:11" x14ac:dyDescent="0.25">
      <c r="A243" t="s">
        <v>4</v>
      </c>
      <c r="B243" t="s">
        <v>5</v>
      </c>
      <c r="C243" s="4">
        <v>2900</v>
      </c>
      <c r="D243" s="33">
        <v>653.70260786269989</v>
      </c>
      <c r="E243" s="16"/>
      <c r="F243" s="3">
        <v>0.05</v>
      </c>
      <c r="H243" s="5"/>
      <c r="I243" s="5"/>
      <c r="J243" s="34"/>
      <c r="K243" s="5"/>
    </row>
    <row r="244" spans="1:11" x14ac:dyDescent="0.25">
      <c r="A244" t="s">
        <v>8</v>
      </c>
      <c r="B244" t="s">
        <v>9</v>
      </c>
      <c r="C244" s="4">
        <v>2900</v>
      </c>
      <c r="D244" s="33">
        <v>653.70260786269989</v>
      </c>
      <c r="E244" s="16"/>
      <c r="F244" s="3">
        <v>0.1</v>
      </c>
      <c r="G244">
        <v>1</v>
      </c>
      <c r="H244" s="5"/>
      <c r="I244" s="5"/>
      <c r="J244" s="34"/>
      <c r="K244" s="5"/>
    </row>
    <row r="245" spans="1:11" x14ac:dyDescent="0.25">
      <c r="A245" t="s">
        <v>46</v>
      </c>
      <c r="B245" t="s">
        <v>47</v>
      </c>
      <c r="C245" s="4">
        <v>4100</v>
      </c>
      <c r="D245" s="33">
        <v>924.20023870243767</v>
      </c>
      <c r="E245" s="16"/>
      <c r="F245" s="3">
        <v>7.0000000000000007E-2</v>
      </c>
      <c r="G245">
        <v>1</v>
      </c>
      <c r="H245" s="5"/>
      <c r="I245" s="5"/>
      <c r="J245" s="34"/>
      <c r="K245" s="5"/>
    </row>
    <row r="246" spans="1:11" x14ac:dyDescent="0.25">
      <c r="A246" t="s">
        <v>39</v>
      </c>
      <c r="B246" t="s">
        <v>30</v>
      </c>
      <c r="C246" s="4">
        <v>13500</v>
      </c>
      <c r="D246" s="33">
        <v>3043.0983469470511</v>
      </c>
      <c r="E246" s="16"/>
      <c r="F246" s="3">
        <v>0.06</v>
      </c>
      <c r="G246">
        <v>1</v>
      </c>
      <c r="H246" s="5"/>
      <c r="I246" s="5"/>
      <c r="J246" s="34"/>
      <c r="K246" s="5"/>
    </row>
    <row r="247" spans="1:11" x14ac:dyDescent="0.25">
      <c r="A247" t="s">
        <v>44</v>
      </c>
      <c r="B247" t="s">
        <v>45</v>
      </c>
      <c r="C247" s="4">
        <v>2900</v>
      </c>
      <c r="D247" s="33">
        <v>653.70260786269989</v>
      </c>
      <c r="E247" s="16"/>
      <c r="F247" s="3">
        <v>0.06</v>
      </c>
      <c r="H247" s="5"/>
      <c r="I247" s="5"/>
      <c r="J247" s="34"/>
      <c r="K247" s="5"/>
    </row>
    <row r="248" spans="1:11" x14ac:dyDescent="0.25">
      <c r="A248" t="s">
        <v>29</v>
      </c>
      <c r="B248" t="s">
        <v>30</v>
      </c>
      <c r="C248" s="4">
        <v>4100</v>
      </c>
      <c r="D248" s="33">
        <v>924.20023870243767</v>
      </c>
      <c r="E248" s="16"/>
      <c r="F248" s="3">
        <v>7.0000000000000007E-2</v>
      </c>
      <c r="H248" s="5"/>
      <c r="I248" s="5"/>
      <c r="J248" s="34"/>
      <c r="K248" s="5"/>
    </row>
    <row r="249" spans="1:11" x14ac:dyDescent="0.25">
      <c r="A249" t="s">
        <v>25</v>
      </c>
      <c r="B249" t="s">
        <v>24</v>
      </c>
      <c r="C249" s="4">
        <v>4100</v>
      </c>
      <c r="D249" s="33">
        <v>924.20023870243767</v>
      </c>
      <c r="E249" s="16"/>
      <c r="F249" s="3">
        <v>0.09</v>
      </c>
      <c r="G249">
        <v>2</v>
      </c>
      <c r="H249" s="5"/>
      <c r="I249" s="5"/>
      <c r="J249" s="34"/>
      <c r="K249" s="5"/>
    </row>
    <row r="250" spans="1:11" x14ac:dyDescent="0.25">
      <c r="A250" t="s">
        <v>12</v>
      </c>
      <c r="B250" t="s">
        <v>13</v>
      </c>
      <c r="C250" s="4">
        <v>13500</v>
      </c>
      <c r="D250" s="33">
        <v>3043.0983469470511</v>
      </c>
      <c r="E250" s="16"/>
      <c r="F250" s="3">
        <v>0.15</v>
      </c>
      <c r="G250">
        <v>1</v>
      </c>
      <c r="H250" s="5"/>
      <c r="I250" s="5"/>
      <c r="J250" s="34"/>
      <c r="K250" s="5"/>
    </row>
    <row r="251" spans="1:11" x14ac:dyDescent="0.25">
      <c r="A251" t="s">
        <v>12</v>
      </c>
      <c r="B251" t="s">
        <v>30</v>
      </c>
      <c r="C251" s="4">
        <v>20000</v>
      </c>
      <c r="D251" s="33">
        <v>4508.2938473289641</v>
      </c>
      <c r="E251" s="16"/>
      <c r="F251" s="3">
        <v>0.06</v>
      </c>
      <c r="H251" s="5"/>
      <c r="I251" s="5"/>
      <c r="J251" s="34"/>
      <c r="K251" s="5"/>
    </row>
    <row r="252" spans="1:11" x14ac:dyDescent="0.25">
      <c r="A252" t="s">
        <v>10</v>
      </c>
      <c r="B252" t="s">
        <v>11</v>
      </c>
      <c r="C252" s="4">
        <v>2900</v>
      </c>
      <c r="D252" s="33">
        <v>653.70260786269989</v>
      </c>
      <c r="E252" s="16"/>
      <c r="F252" s="3">
        <v>0.04</v>
      </c>
      <c r="G252">
        <v>3</v>
      </c>
      <c r="H252" s="5"/>
      <c r="I252" s="5"/>
      <c r="J252" s="34"/>
      <c r="K252" s="5"/>
    </row>
    <row r="253" spans="1:11" x14ac:dyDescent="0.25">
      <c r="A253" t="s">
        <v>18</v>
      </c>
      <c r="B253" t="s">
        <v>19</v>
      </c>
      <c r="C253" s="4">
        <v>3800</v>
      </c>
      <c r="D253" s="33">
        <v>856.57583099250326</v>
      </c>
      <c r="E253" s="16"/>
      <c r="F253" s="3">
        <v>7.0000000000000007E-2</v>
      </c>
      <c r="G253">
        <v>1</v>
      </c>
      <c r="H253" s="5"/>
      <c r="I253" s="5"/>
      <c r="J253" s="34"/>
      <c r="K253" s="5"/>
    </row>
    <row r="254" spans="1:11" x14ac:dyDescent="0.25">
      <c r="A254" t="s">
        <v>54</v>
      </c>
      <c r="B254" t="s">
        <v>55</v>
      </c>
      <c r="C254" s="4">
        <v>4100</v>
      </c>
      <c r="D254" s="33">
        <v>924.20023870243767</v>
      </c>
      <c r="E254" s="16"/>
      <c r="F254" s="3">
        <v>0.05</v>
      </c>
      <c r="G254">
        <v>2</v>
      </c>
      <c r="H254" s="5"/>
      <c r="I254" s="5"/>
      <c r="J254" s="34"/>
      <c r="K254" s="5"/>
    </row>
    <row r="255" spans="1:11" x14ac:dyDescent="0.25">
      <c r="A255" t="s">
        <v>26</v>
      </c>
      <c r="B255" t="s">
        <v>9</v>
      </c>
      <c r="C255" s="4">
        <v>2900</v>
      </c>
      <c r="D255" s="33">
        <v>653.70260786269989</v>
      </c>
      <c r="E255" s="16"/>
      <c r="F255" s="3">
        <v>0.15</v>
      </c>
      <c r="H255" s="5"/>
      <c r="I255" s="5"/>
      <c r="J255" s="34"/>
      <c r="K255" s="5"/>
    </row>
    <row r="256" spans="1:11" x14ac:dyDescent="0.25">
      <c r="A256" t="s">
        <v>40</v>
      </c>
      <c r="B256" t="s">
        <v>41</v>
      </c>
      <c r="C256" s="4">
        <v>23300</v>
      </c>
      <c r="D256" s="33">
        <v>5252.162332138244</v>
      </c>
      <c r="E256" s="16"/>
      <c r="F256" s="3">
        <v>0.06</v>
      </c>
      <c r="H256" s="5"/>
      <c r="I256" s="5"/>
      <c r="J256" s="34"/>
      <c r="K256" s="5"/>
    </row>
    <row r="257" spans="1:11" x14ac:dyDescent="0.25">
      <c r="A257" t="s">
        <v>14</v>
      </c>
      <c r="B257" t="s">
        <v>15</v>
      </c>
      <c r="C257" s="4">
        <v>20000</v>
      </c>
      <c r="D257" s="33">
        <v>4508.2938473289641</v>
      </c>
      <c r="E257" s="16"/>
      <c r="F257" s="3">
        <v>0.06</v>
      </c>
      <c r="H257" s="5"/>
      <c r="I257" s="5"/>
      <c r="J257" s="34"/>
      <c r="K257" s="5"/>
    </row>
    <row r="258" spans="1:11" x14ac:dyDescent="0.25">
      <c r="A258" t="s">
        <v>10</v>
      </c>
      <c r="B258" t="s">
        <v>11</v>
      </c>
      <c r="C258" s="4">
        <v>5200</v>
      </c>
      <c r="D258" s="33">
        <v>1172.1564003055307</v>
      </c>
      <c r="E258" s="16"/>
      <c r="F258" s="3">
        <v>0.1</v>
      </c>
      <c r="H258" s="5"/>
      <c r="I258" s="5"/>
      <c r="J258" s="34"/>
      <c r="K258" s="5"/>
    </row>
    <row r="259" spans="1:11" x14ac:dyDescent="0.25">
      <c r="A259" t="s">
        <v>12</v>
      </c>
      <c r="B259" t="s">
        <v>30</v>
      </c>
      <c r="C259" s="4">
        <v>7000</v>
      </c>
      <c r="D259" s="33">
        <v>1577.9028465651375</v>
      </c>
      <c r="E259" s="16"/>
      <c r="F259" s="3">
        <v>0.05</v>
      </c>
      <c r="G259">
        <v>1</v>
      </c>
      <c r="H259" s="5"/>
      <c r="I259" s="5"/>
      <c r="J259" s="34"/>
      <c r="K259" s="5"/>
    </row>
    <row r="260" spans="1:11" x14ac:dyDescent="0.25">
      <c r="A260" t="s">
        <v>22</v>
      </c>
      <c r="B260" t="s">
        <v>23</v>
      </c>
      <c r="C260" s="4">
        <v>3400</v>
      </c>
      <c r="D260" s="33">
        <v>766.409954045924</v>
      </c>
      <c r="E260" s="16"/>
      <c r="F260" s="3">
        <v>0.04</v>
      </c>
      <c r="H260" s="5"/>
      <c r="I260" s="5"/>
      <c r="J260" s="34"/>
      <c r="K260" s="5"/>
    </row>
    <row r="261" spans="1:11" x14ac:dyDescent="0.25">
      <c r="A261" t="s">
        <v>12</v>
      </c>
      <c r="B261" t="s">
        <v>13</v>
      </c>
      <c r="C261" s="4">
        <v>12200</v>
      </c>
      <c r="D261" s="33">
        <v>2750.0592468706682</v>
      </c>
      <c r="E261" s="16"/>
      <c r="F261" s="3">
        <v>0.05</v>
      </c>
      <c r="H261" s="5"/>
      <c r="I261" s="5"/>
      <c r="J261" s="34"/>
      <c r="K261" s="5"/>
    </row>
    <row r="262" spans="1:11" x14ac:dyDescent="0.25">
      <c r="A262" t="s">
        <v>25</v>
      </c>
      <c r="B262" t="s">
        <v>24</v>
      </c>
      <c r="C262" s="4">
        <v>15400</v>
      </c>
      <c r="D262" s="33">
        <v>3471.3862624433027</v>
      </c>
      <c r="E262" s="16"/>
      <c r="F262" s="3">
        <v>0.1</v>
      </c>
      <c r="G262">
        <v>1</v>
      </c>
      <c r="H262" s="5"/>
      <c r="I262" s="5"/>
      <c r="J262" s="34"/>
      <c r="K262" s="5"/>
    </row>
    <row r="263" spans="1:11" x14ac:dyDescent="0.25">
      <c r="A263" t="s">
        <v>29</v>
      </c>
      <c r="B263" t="s">
        <v>30</v>
      </c>
      <c r="C263" s="4">
        <v>4300</v>
      </c>
      <c r="D263" s="33">
        <v>969.28317717572736</v>
      </c>
      <c r="E263" s="16"/>
      <c r="F263" s="3">
        <v>0.06</v>
      </c>
      <c r="H263" s="5"/>
      <c r="I263" s="5"/>
      <c r="J263" s="34"/>
      <c r="K263" s="5"/>
    </row>
    <row r="264" spans="1:11" x14ac:dyDescent="0.25">
      <c r="A264" t="s">
        <v>33</v>
      </c>
      <c r="B264" t="s">
        <v>34</v>
      </c>
      <c r="C264" s="4">
        <v>3800</v>
      </c>
      <c r="D264" s="33">
        <v>856.57583099250326</v>
      </c>
      <c r="E264" s="16"/>
      <c r="F264" s="3">
        <v>0.09</v>
      </c>
      <c r="H264" s="5"/>
      <c r="I264" s="5"/>
      <c r="J264" s="34"/>
      <c r="K264" s="5"/>
    </row>
    <row r="265" spans="1:11" x14ac:dyDescent="0.25">
      <c r="A265" t="s">
        <v>14</v>
      </c>
      <c r="B265" t="s">
        <v>15</v>
      </c>
      <c r="C265" s="4">
        <v>16000</v>
      </c>
      <c r="D265" s="33">
        <v>3606.6350778631713</v>
      </c>
      <c r="E265" s="16"/>
      <c r="F265" s="3">
        <v>7.0000000000000007E-2</v>
      </c>
      <c r="G265">
        <v>1</v>
      </c>
      <c r="H265" s="5"/>
      <c r="I265" s="5"/>
      <c r="J265" s="34"/>
      <c r="K265" s="5"/>
    </row>
    <row r="266" spans="1:11" x14ac:dyDescent="0.25">
      <c r="A266" t="s">
        <v>84</v>
      </c>
      <c r="B266" t="s">
        <v>85</v>
      </c>
      <c r="C266" s="4">
        <v>2900</v>
      </c>
      <c r="D266" s="33">
        <v>653.70260786269989</v>
      </c>
      <c r="E266" s="16"/>
      <c r="F266" s="3">
        <v>0.15</v>
      </c>
      <c r="H266" s="5"/>
      <c r="I266" s="5"/>
      <c r="J266" s="34"/>
      <c r="K266" s="5"/>
    </row>
    <row r="267" spans="1:11" x14ac:dyDescent="0.25">
      <c r="A267" t="s">
        <v>46</v>
      </c>
      <c r="B267" t="s">
        <v>47</v>
      </c>
      <c r="C267" s="4">
        <v>4300</v>
      </c>
      <c r="D267" s="33">
        <v>969.28317717572736</v>
      </c>
      <c r="E267" s="16"/>
      <c r="F267" s="3">
        <v>0.06</v>
      </c>
      <c r="H267" s="5"/>
      <c r="I267" s="5"/>
      <c r="J267" s="34"/>
      <c r="K267" s="5"/>
    </row>
    <row r="268" spans="1:11" x14ac:dyDescent="0.25">
      <c r="A268" t="s">
        <v>29</v>
      </c>
      <c r="B268" t="s">
        <v>30</v>
      </c>
      <c r="C268" s="4">
        <v>16000</v>
      </c>
      <c r="D268" s="33">
        <v>3606.6350778631713</v>
      </c>
      <c r="E268" s="16"/>
      <c r="F268" s="3">
        <v>0.06</v>
      </c>
      <c r="H268" s="5"/>
      <c r="I268" s="5"/>
      <c r="J268" s="34"/>
      <c r="K268" s="5"/>
    </row>
    <row r="269" spans="1:11" x14ac:dyDescent="0.25">
      <c r="A269" t="s">
        <v>8</v>
      </c>
      <c r="B269" t="s">
        <v>9</v>
      </c>
      <c r="C269" s="4">
        <v>20000</v>
      </c>
      <c r="D269" s="33">
        <v>4508.2938473289641</v>
      </c>
      <c r="E269" s="16"/>
      <c r="F269" s="3">
        <v>0.1</v>
      </c>
      <c r="G269">
        <v>1</v>
      </c>
      <c r="H269" s="5"/>
      <c r="I269" s="5"/>
      <c r="J269" s="34"/>
      <c r="K269" s="5"/>
    </row>
    <row r="270" spans="1:11" x14ac:dyDescent="0.25">
      <c r="A270" t="s">
        <v>14</v>
      </c>
      <c r="B270" t="s">
        <v>15</v>
      </c>
      <c r="C270" s="4">
        <v>13500</v>
      </c>
      <c r="D270" s="33">
        <v>3043.0983469470511</v>
      </c>
      <c r="E270" s="16"/>
      <c r="F270" s="3">
        <v>0.09</v>
      </c>
      <c r="G270">
        <v>1</v>
      </c>
      <c r="H270" s="5"/>
      <c r="I270" s="5"/>
      <c r="J270" s="34"/>
      <c r="K270" s="5"/>
    </row>
    <row r="271" spans="1:11" x14ac:dyDescent="0.25">
      <c r="A271" t="s">
        <v>6</v>
      </c>
      <c r="B271" t="s">
        <v>7</v>
      </c>
      <c r="C271" s="4">
        <v>4300</v>
      </c>
      <c r="D271" s="33">
        <v>969.28317717572736</v>
      </c>
      <c r="E271" s="16"/>
      <c r="F271" s="3">
        <v>0.15</v>
      </c>
      <c r="H271" s="5"/>
      <c r="I271" s="5"/>
      <c r="J271" s="34"/>
      <c r="K271" s="5"/>
    </row>
    <row r="272" spans="1:11" x14ac:dyDescent="0.25">
      <c r="A272" t="s">
        <v>26</v>
      </c>
      <c r="B272" t="s">
        <v>9</v>
      </c>
      <c r="C272" s="4">
        <v>2900</v>
      </c>
      <c r="D272" s="33">
        <v>653.70260786269989</v>
      </c>
      <c r="E272" s="16"/>
      <c r="F272" s="3">
        <v>0.05</v>
      </c>
      <c r="G272">
        <v>1</v>
      </c>
      <c r="H272" s="5"/>
      <c r="I272" s="5"/>
      <c r="J272" s="34"/>
      <c r="K272" s="5"/>
    </row>
    <row r="273" spans="1:11" x14ac:dyDescent="0.25">
      <c r="A273" t="s">
        <v>71</v>
      </c>
      <c r="B273" t="s">
        <v>72</v>
      </c>
      <c r="C273" s="4">
        <v>25000</v>
      </c>
      <c r="D273" s="33">
        <v>5635.3673091612054</v>
      </c>
      <c r="E273" s="16"/>
      <c r="F273" s="3">
        <v>0.09</v>
      </c>
      <c r="G273">
        <v>1</v>
      </c>
      <c r="H273" s="5"/>
      <c r="I273" s="5"/>
      <c r="J273" s="34"/>
      <c r="K273" s="5"/>
    </row>
    <row r="274" spans="1:11" x14ac:dyDescent="0.25">
      <c r="A274" t="s">
        <v>46</v>
      </c>
      <c r="B274" t="s">
        <v>47</v>
      </c>
      <c r="C274" s="4">
        <v>3800</v>
      </c>
      <c r="D274" s="33">
        <v>856.57583099250326</v>
      </c>
      <c r="E274" s="16"/>
      <c r="F274" s="3">
        <v>0.1</v>
      </c>
      <c r="H274" s="5"/>
      <c r="I274" s="5"/>
      <c r="J274" s="34"/>
      <c r="K274" s="5"/>
    </row>
    <row r="275" spans="1:11" x14ac:dyDescent="0.25">
      <c r="A275" t="s">
        <v>10</v>
      </c>
      <c r="B275" t="s">
        <v>11</v>
      </c>
      <c r="C275" s="4">
        <v>2900</v>
      </c>
      <c r="D275" s="33">
        <v>653.70260786269989</v>
      </c>
      <c r="E275" s="16"/>
      <c r="F275" s="3">
        <v>0.05</v>
      </c>
      <c r="G275">
        <v>1</v>
      </c>
      <c r="H275" s="5"/>
      <c r="I275" s="5"/>
      <c r="J275" s="34"/>
      <c r="K275" s="5"/>
    </row>
    <row r="276" spans="1:11" x14ac:dyDescent="0.25">
      <c r="A276" t="s">
        <v>29</v>
      </c>
      <c r="B276" t="s">
        <v>30</v>
      </c>
      <c r="C276" s="4">
        <v>16000</v>
      </c>
      <c r="D276" s="33">
        <v>3606.6350778631713</v>
      </c>
      <c r="E276" s="16"/>
      <c r="F276" s="3">
        <v>0.05</v>
      </c>
      <c r="G276">
        <v>1</v>
      </c>
      <c r="H276" s="5"/>
      <c r="I276" s="5"/>
      <c r="J276" s="34"/>
      <c r="K276" s="5"/>
    </row>
    <row r="277" spans="1:11" x14ac:dyDescent="0.25">
      <c r="A277" t="s">
        <v>39</v>
      </c>
      <c r="B277" t="s">
        <v>30</v>
      </c>
      <c r="C277" s="4">
        <v>4100</v>
      </c>
      <c r="D277" s="33">
        <v>924.20023870243767</v>
      </c>
      <c r="E277" s="16"/>
      <c r="F277" s="3">
        <v>0.06</v>
      </c>
      <c r="G277">
        <v>3</v>
      </c>
      <c r="H277" s="5"/>
      <c r="I277" s="5"/>
      <c r="J277" s="34"/>
      <c r="K277" s="5"/>
    </row>
    <row r="278" spans="1:11" x14ac:dyDescent="0.25">
      <c r="A278" t="s">
        <v>10</v>
      </c>
      <c r="B278" t="s">
        <v>11</v>
      </c>
      <c r="C278" s="4">
        <v>4200</v>
      </c>
      <c r="D278" s="33">
        <v>946.74170793908252</v>
      </c>
      <c r="E278" s="16"/>
      <c r="F278" s="3">
        <v>0.09</v>
      </c>
      <c r="G278">
        <v>1</v>
      </c>
      <c r="H278" s="5"/>
      <c r="I278" s="5"/>
      <c r="J278" s="34"/>
      <c r="K278" s="5"/>
    </row>
    <row r="279" spans="1:11" x14ac:dyDescent="0.25">
      <c r="A279" t="s">
        <v>82</v>
      </c>
      <c r="B279" t="s">
        <v>83</v>
      </c>
      <c r="C279" s="4">
        <v>14600</v>
      </c>
      <c r="D279" s="33">
        <v>3291.054508550144</v>
      </c>
      <c r="E279" s="16"/>
      <c r="F279" s="3">
        <v>0.15</v>
      </c>
      <c r="H279" s="5"/>
      <c r="I279" s="5"/>
      <c r="J279" s="34"/>
      <c r="K279" s="5"/>
    </row>
    <row r="280" spans="1:11" x14ac:dyDescent="0.25">
      <c r="A280" t="s">
        <v>50</v>
      </c>
      <c r="B280" t="s">
        <v>51</v>
      </c>
      <c r="C280" s="4">
        <v>3800</v>
      </c>
      <c r="D280" s="33">
        <v>856.57583099250326</v>
      </c>
      <c r="E280" s="16"/>
      <c r="F280" s="3">
        <v>0.09</v>
      </c>
      <c r="H280" s="5"/>
      <c r="I280" s="5"/>
      <c r="J280" s="34"/>
      <c r="K280" s="5"/>
    </row>
    <row r="281" spans="1:11" x14ac:dyDescent="0.25">
      <c r="A281" t="s">
        <v>60</v>
      </c>
      <c r="B281" t="s">
        <v>61</v>
      </c>
      <c r="C281" s="4">
        <v>5000</v>
      </c>
      <c r="D281" s="33">
        <v>1127.073461832241</v>
      </c>
      <c r="E281" s="16"/>
      <c r="F281" s="3">
        <v>0.05</v>
      </c>
      <c r="G281">
        <v>1</v>
      </c>
      <c r="H281" s="5"/>
      <c r="I281" s="5"/>
      <c r="J281" s="34"/>
      <c r="K281" s="5"/>
    </row>
    <row r="282" spans="1:11" x14ac:dyDescent="0.25">
      <c r="A282" t="s">
        <v>12</v>
      </c>
      <c r="B282" t="s">
        <v>13</v>
      </c>
      <c r="C282" s="4">
        <v>6200</v>
      </c>
      <c r="D282" s="33">
        <v>1397.5710926719789</v>
      </c>
      <c r="E282" s="16"/>
      <c r="F282" s="3">
        <v>0.09</v>
      </c>
      <c r="H282" s="5"/>
      <c r="I282" s="5"/>
      <c r="J282" s="34"/>
      <c r="K282" s="5"/>
    </row>
    <row r="283" spans="1:11" x14ac:dyDescent="0.25">
      <c r="A283" t="s">
        <v>42</v>
      </c>
      <c r="B283" t="s">
        <v>43</v>
      </c>
      <c r="C283" s="4">
        <v>4300</v>
      </c>
      <c r="D283" s="33">
        <v>969.28317717572736</v>
      </c>
      <c r="E283" s="16"/>
      <c r="F283" s="3">
        <v>0.04</v>
      </c>
      <c r="H283" s="5"/>
      <c r="I283" s="5"/>
      <c r="J283" s="34"/>
      <c r="K283" s="5"/>
    </row>
    <row r="284" spans="1:11" x14ac:dyDescent="0.25">
      <c r="A284" t="s">
        <v>80</v>
      </c>
      <c r="B284" t="s">
        <v>57</v>
      </c>
      <c r="C284" s="4">
        <v>4300</v>
      </c>
      <c r="D284" s="33">
        <v>969.28317717572736</v>
      </c>
      <c r="E284" s="16"/>
      <c r="F284" s="3">
        <v>7.0000000000000007E-2</v>
      </c>
      <c r="G284">
        <v>2</v>
      </c>
      <c r="H284" s="5"/>
      <c r="I284" s="5"/>
      <c r="J284" s="34"/>
      <c r="K284" s="5"/>
    </row>
    <row r="285" spans="1:11" x14ac:dyDescent="0.25">
      <c r="A285" t="s">
        <v>29</v>
      </c>
      <c r="B285" t="s">
        <v>30</v>
      </c>
      <c r="C285" s="4">
        <v>10000</v>
      </c>
      <c r="D285" s="33">
        <v>2254.1469236644821</v>
      </c>
      <c r="E285" s="16"/>
      <c r="F285" s="3">
        <v>0.06</v>
      </c>
      <c r="G285">
        <v>2</v>
      </c>
      <c r="H285" s="5"/>
      <c r="I285" s="5"/>
      <c r="J285" s="34"/>
      <c r="K285" s="5"/>
    </row>
    <row r="286" spans="1:11" x14ac:dyDescent="0.25">
      <c r="A286" t="s">
        <v>76</v>
      </c>
      <c r="B286" t="s">
        <v>77</v>
      </c>
      <c r="C286" s="4">
        <v>4300</v>
      </c>
      <c r="D286" s="33">
        <v>969.28317717572736</v>
      </c>
      <c r="E286" s="16"/>
      <c r="F286" s="3">
        <v>0.09</v>
      </c>
      <c r="G286">
        <v>2</v>
      </c>
      <c r="H286" s="5"/>
      <c r="I286" s="5"/>
      <c r="J286" s="34"/>
      <c r="K286" s="5"/>
    </row>
    <row r="287" spans="1:11" x14ac:dyDescent="0.25">
      <c r="A287" t="s">
        <v>75</v>
      </c>
      <c r="B287" t="s">
        <v>21</v>
      </c>
      <c r="C287" s="4">
        <v>2900</v>
      </c>
      <c r="D287" s="33">
        <v>653.70260786269989</v>
      </c>
      <c r="E287" s="16"/>
      <c r="F287" s="3">
        <v>0.05</v>
      </c>
      <c r="G287">
        <v>1</v>
      </c>
      <c r="H287" s="5"/>
      <c r="I287" s="5"/>
      <c r="J287" s="34"/>
      <c r="K287" s="5"/>
    </row>
    <row r="288" spans="1:11" x14ac:dyDescent="0.25">
      <c r="A288" t="s">
        <v>12</v>
      </c>
      <c r="B288" t="s">
        <v>86</v>
      </c>
      <c r="C288" s="4">
        <v>13500</v>
      </c>
      <c r="D288" s="33">
        <v>3043.0983469470511</v>
      </c>
      <c r="E288" s="16"/>
      <c r="F288" s="3">
        <v>0.09</v>
      </c>
      <c r="G288">
        <v>1</v>
      </c>
      <c r="H288" s="5"/>
      <c r="I288" s="5"/>
      <c r="J288" s="34"/>
      <c r="K288" s="5"/>
    </row>
    <row r="289" spans="1:11" x14ac:dyDescent="0.25">
      <c r="A289" t="s">
        <v>10</v>
      </c>
      <c r="B289" t="s">
        <v>11</v>
      </c>
      <c r="C289" s="4">
        <v>3800</v>
      </c>
      <c r="D289" s="33">
        <v>856.57583099250326</v>
      </c>
      <c r="E289" s="16"/>
      <c r="F289" s="3">
        <v>0.06</v>
      </c>
      <c r="G289">
        <v>2</v>
      </c>
      <c r="H289" s="5"/>
      <c r="I289" s="5"/>
      <c r="J289" s="34"/>
      <c r="K289" s="5"/>
    </row>
    <row r="290" spans="1:11" x14ac:dyDescent="0.25">
      <c r="A290" t="s">
        <v>52</v>
      </c>
      <c r="B290" t="s">
        <v>53</v>
      </c>
      <c r="C290" s="4">
        <v>2900</v>
      </c>
      <c r="D290" s="33">
        <v>653.70260786269989</v>
      </c>
      <c r="E290" s="16"/>
      <c r="F290" s="3">
        <v>0.05</v>
      </c>
      <c r="G290">
        <v>2</v>
      </c>
      <c r="H290" s="5"/>
      <c r="I290" s="5"/>
      <c r="J290" s="34"/>
      <c r="K290" s="5"/>
    </row>
    <row r="291" spans="1:11" x14ac:dyDescent="0.25">
      <c r="A291" t="s">
        <v>10</v>
      </c>
      <c r="B291" t="s">
        <v>11</v>
      </c>
      <c r="C291" s="4">
        <v>16000</v>
      </c>
      <c r="D291" s="33">
        <v>3606.6350778631713</v>
      </c>
      <c r="E291" s="16"/>
      <c r="F291" s="3">
        <v>0.1</v>
      </c>
      <c r="G291">
        <v>1</v>
      </c>
      <c r="H291" s="5"/>
      <c r="I291" s="5"/>
      <c r="J291" s="34"/>
      <c r="K291" s="5"/>
    </row>
    <row r="292" spans="1:11" x14ac:dyDescent="0.25">
      <c r="A292" t="s">
        <v>6</v>
      </c>
      <c r="B292" t="s">
        <v>7</v>
      </c>
      <c r="C292" s="4">
        <v>4500</v>
      </c>
      <c r="D292" s="33">
        <v>1014.366115649017</v>
      </c>
      <c r="E292" s="16"/>
      <c r="F292" s="3">
        <v>0.06</v>
      </c>
      <c r="G292">
        <v>1</v>
      </c>
      <c r="H292" s="5"/>
      <c r="I292" s="5"/>
      <c r="J292" s="34"/>
      <c r="K292" s="5"/>
    </row>
    <row r="293" spans="1:11" x14ac:dyDescent="0.25">
      <c r="A293" t="s">
        <v>46</v>
      </c>
      <c r="B293" t="s">
        <v>47</v>
      </c>
      <c r="C293" s="4">
        <v>4300</v>
      </c>
      <c r="D293" s="33">
        <v>969.28317717572736</v>
      </c>
      <c r="E293" s="16"/>
      <c r="F293" s="3">
        <v>0.04</v>
      </c>
      <c r="H293" s="5"/>
      <c r="I293" s="5"/>
      <c r="J293" s="34"/>
      <c r="K293" s="5"/>
    </row>
    <row r="294" spans="1:11" x14ac:dyDescent="0.25">
      <c r="A294" t="s">
        <v>33</v>
      </c>
      <c r="B294" t="s">
        <v>34</v>
      </c>
      <c r="C294" s="4">
        <v>4100</v>
      </c>
      <c r="D294" s="33">
        <v>924.20023870243767</v>
      </c>
      <c r="E294" s="16"/>
      <c r="F294" s="3">
        <v>0.15</v>
      </c>
      <c r="G294">
        <v>1</v>
      </c>
      <c r="H294" s="5"/>
      <c r="I294" s="5"/>
      <c r="J294" s="34"/>
      <c r="K294" s="5"/>
    </row>
    <row r="295" spans="1:11" x14ac:dyDescent="0.25">
      <c r="A295" t="s">
        <v>8</v>
      </c>
      <c r="B295" t="s">
        <v>9</v>
      </c>
      <c r="C295" s="4">
        <v>4100</v>
      </c>
      <c r="D295" s="33">
        <v>924.20023870243767</v>
      </c>
      <c r="E295" s="16"/>
      <c r="F295" s="3">
        <v>0.06</v>
      </c>
      <c r="H295" s="5"/>
      <c r="I295" s="5"/>
      <c r="J295" s="34"/>
      <c r="K295" s="5"/>
    </row>
    <row r="296" spans="1:11" x14ac:dyDescent="0.25">
      <c r="A296" t="s">
        <v>4</v>
      </c>
      <c r="B296" t="s">
        <v>5</v>
      </c>
      <c r="C296" s="4">
        <v>4100</v>
      </c>
      <c r="D296" s="33">
        <v>924.20023870243767</v>
      </c>
      <c r="E296" s="16"/>
      <c r="F296" s="3">
        <v>0.05</v>
      </c>
      <c r="G296">
        <v>2</v>
      </c>
      <c r="H296" s="5"/>
      <c r="I296" s="5"/>
      <c r="J296" s="34"/>
      <c r="K296" s="5"/>
    </row>
    <row r="297" spans="1:11" x14ac:dyDescent="0.25">
      <c r="A297" t="s">
        <v>25</v>
      </c>
      <c r="B297" t="s">
        <v>24</v>
      </c>
      <c r="C297" s="4">
        <v>8900</v>
      </c>
      <c r="D297" s="33">
        <v>2006.1907620613893</v>
      </c>
      <c r="E297" s="16"/>
      <c r="F297" s="3">
        <v>0.04</v>
      </c>
      <c r="H297" s="5"/>
      <c r="I297" s="5"/>
      <c r="J297" s="34"/>
      <c r="K297" s="5"/>
    </row>
    <row r="298" spans="1:11" x14ac:dyDescent="0.25">
      <c r="A298" t="s">
        <v>8</v>
      </c>
      <c r="B298" t="s">
        <v>9</v>
      </c>
      <c r="C298" s="4">
        <v>3800</v>
      </c>
      <c r="D298" s="33">
        <v>856.57583099250326</v>
      </c>
      <c r="E298" s="16"/>
      <c r="F298" s="3">
        <v>0.06</v>
      </c>
      <c r="H298" s="5"/>
      <c r="I298" s="5"/>
      <c r="J298" s="34"/>
      <c r="K298" s="5"/>
    </row>
    <row r="299" spans="1:11" x14ac:dyDescent="0.25">
      <c r="A299" t="s">
        <v>60</v>
      </c>
      <c r="B299" t="s">
        <v>61</v>
      </c>
      <c r="C299" s="4">
        <v>4100</v>
      </c>
      <c r="D299" s="33">
        <v>924.20023870243767</v>
      </c>
      <c r="E299" s="16"/>
      <c r="F299" s="3">
        <v>0.05</v>
      </c>
      <c r="H299" s="5"/>
      <c r="I299" s="5"/>
      <c r="J299" s="34"/>
      <c r="K299" s="5"/>
    </row>
    <row r="300" spans="1:11" x14ac:dyDescent="0.25">
      <c r="A300" t="s">
        <v>82</v>
      </c>
      <c r="B300" t="s">
        <v>83</v>
      </c>
      <c r="C300" s="4">
        <v>12200</v>
      </c>
      <c r="D300" s="33">
        <v>2750.0592468706682</v>
      </c>
      <c r="E300" s="16"/>
      <c r="F300" s="3">
        <v>0.06</v>
      </c>
      <c r="H300" s="5"/>
      <c r="I300" s="5"/>
      <c r="J300" s="34"/>
      <c r="K300" s="5"/>
    </row>
    <row r="301" spans="1:11" x14ac:dyDescent="0.25">
      <c r="A301" t="s">
        <v>31</v>
      </c>
      <c r="B301" t="s">
        <v>32</v>
      </c>
      <c r="C301" s="4">
        <v>15400</v>
      </c>
      <c r="D301" s="33">
        <v>3471.3862624433027</v>
      </c>
      <c r="E301" s="16"/>
      <c r="F301" s="3">
        <v>0.06</v>
      </c>
      <c r="G301">
        <v>1</v>
      </c>
      <c r="H301" s="5"/>
      <c r="I301" s="5"/>
      <c r="J301" s="34"/>
      <c r="K301" s="5"/>
    </row>
    <row r="302" spans="1:11" x14ac:dyDescent="0.25">
      <c r="A302" t="s">
        <v>12</v>
      </c>
      <c r="B302" t="s">
        <v>13</v>
      </c>
      <c r="C302" s="4">
        <v>4100</v>
      </c>
      <c r="D302" s="33">
        <v>924.20023870243767</v>
      </c>
      <c r="E302" s="16"/>
      <c r="F302" s="3">
        <v>7.0000000000000007E-2</v>
      </c>
      <c r="G302">
        <v>1</v>
      </c>
      <c r="H302" s="5"/>
      <c r="I302" s="5"/>
      <c r="J302" s="34"/>
      <c r="K302" s="5"/>
    </row>
    <row r="303" spans="1:11" x14ac:dyDescent="0.25">
      <c r="A303" t="s">
        <v>6</v>
      </c>
      <c r="B303" t="s">
        <v>7</v>
      </c>
      <c r="C303" s="4">
        <v>3800</v>
      </c>
      <c r="D303" s="33">
        <v>856.57583099250326</v>
      </c>
      <c r="E303" s="16"/>
      <c r="F303" s="3">
        <v>0.04</v>
      </c>
      <c r="G303">
        <v>1</v>
      </c>
      <c r="H303" s="5"/>
      <c r="I303" s="5"/>
      <c r="J303" s="34"/>
      <c r="K303" s="5"/>
    </row>
    <row r="304" spans="1:11" x14ac:dyDescent="0.25">
      <c r="A304" t="s">
        <v>20</v>
      </c>
      <c r="B304" t="s">
        <v>21</v>
      </c>
      <c r="C304" s="4">
        <v>4300</v>
      </c>
      <c r="D304" s="33">
        <v>969.28317717572736</v>
      </c>
      <c r="E304" s="16"/>
      <c r="F304" s="3">
        <v>7.0000000000000007E-2</v>
      </c>
      <c r="H304" s="5"/>
      <c r="I304" s="5"/>
      <c r="J304" s="34"/>
      <c r="K304" s="5"/>
    </row>
    <row r="305" spans="1:11" x14ac:dyDescent="0.25">
      <c r="A305" t="s">
        <v>39</v>
      </c>
      <c r="B305" t="s">
        <v>30</v>
      </c>
      <c r="C305" s="4">
        <v>4300</v>
      </c>
      <c r="D305" s="33">
        <v>969.28317717572736</v>
      </c>
      <c r="E305" s="16"/>
      <c r="F305" s="3">
        <v>7.0000000000000007E-2</v>
      </c>
      <c r="G305">
        <v>1</v>
      </c>
      <c r="H305" s="5"/>
      <c r="I305" s="5"/>
      <c r="J305" s="34"/>
      <c r="K305" s="5"/>
    </row>
    <row r="306" spans="1:11" x14ac:dyDescent="0.25">
      <c r="A306" t="s">
        <v>8</v>
      </c>
      <c r="B306" t="s">
        <v>9</v>
      </c>
      <c r="C306" s="4">
        <v>2900</v>
      </c>
      <c r="D306" s="33">
        <v>653.70260786269989</v>
      </c>
      <c r="E306" s="16"/>
      <c r="F306" s="3">
        <v>0.09</v>
      </c>
      <c r="G306">
        <v>1</v>
      </c>
      <c r="H306" s="5"/>
      <c r="I306" s="5"/>
      <c r="J306" s="34"/>
      <c r="K306" s="5"/>
    </row>
    <row r="307" spans="1:11" x14ac:dyDescent="0.25">
      <c r="A307" t="s">
        <v>56</v>
      </c>
      <c r="B307" t="s">
        <v>57</v>
      </c>
      <c r="C307" s="4">
        <v>4500</v>
      </c>
      <c r="D307" s="33">
        <v>1014.366115649017</v>
      </c>
      <c r="E307" s="16"/>
      <c r="F307" s="3">
        <v>0.05</v>
      </c>
      <c r="G307">
        <v>3</v>
      </c>
      <c r="H307" s="5"/>
      <c r="I307" s="5"/>
      <c r="J307" s="34"/>
      <c r="K307" s="5"/>
    </row>
    <row r="308" spans="1:11" x14ac:dyDescent="0.25">
      <c r="A308" t="s">
        <v>82</v>
      </c>
      <c r="B308" t="s">
        <v>83</v>
      </c>
      <c r="C308" s="4">
        <v>4100</v>
      </c>
      <c r="D308" s="33">
        <v>924.20023870243767</v>
      </c>
      <c r="E308" s="16"/>
      <c r="F308" s="3">
        <v>7.0000000000000007E-2</v>
      </c>
      <c r="H308" s="5"/>
      <c r="I308" s="5"/>
      <c r="J308" s="34"/>
      <c r="K308" s="5"/>
    </row>
    <row r="309" spans="1:11" x14ac:dyDescent="0.25">
      <c r="A309" t="s">
        <v>12</v>
      </c>
      <c r="B309" t="s">
        <v>24</v>
      </c>
      <c r="C309" s="4">
        <v>12200</v>
      </c>
      <c r="D309" s="33">
        <v>2750.0592468706682</v>
      </c>
      <c r="E309" s="16"/>
      <c r="F309" s="3">
        <v>0.09</v>
      </c>
      <c r="H309" s="5"/>
      <c r="I309" s="5"/>
      <c r="J309" s="34"/>
      <c r="K309" s="5"/>
    </row>
    <row r="310" spans="1:11" x14ac:dyDescent="0.25">
      <c r="A310" t="s">
        <v>6</v>
      </c>
      <c r="B310" t="s">
        <v>7</v>
      </c>
      <c r="C310" s="4">
        <v>7700</v>
      </c>
      <c r="D310" s="33">
        <v>1735.6931312216514</v>
      </c>
      <c r="E310" s="16"/>
      <c r="F310" s="3">
        <v>0.09</v>
      </c>
      <c r="H310" s="5"/>
      <c r="I310" s="5"/>
      <c r="J310" s="34"/>
      <c r="K310" s="5"/>
    </row>
    <row r="311" spans="1:11" x14ac:dyDescent="0.25">
      <c r="A311" t="s">
        <v>82</v>
      </c>
      <c r="B311" t="s">
        <v>83</v>
      </c>
      <c r="C311" s="4">
        <v>3800</v>
      </c>
      <c r="D311" s="33">
        <v>856.57583099250326</v>
      </c>
      <c r="E311" s="16"/>
      <c r="F311" s="3">
        <v>0.06</v>
      </c>
      <c r="H311" s="5"/>
      <c r="I311" s="5"/>
      <c r="J311" s="34"/>
      <c r="K311" s="5"/>
    </row>
    <row r="312" spans="1:11" x14ac:dyDescent="0.25">
      <c r="A312" t="s">
        <v>62</v>
      </c>
      <c r="B312" t="s">
        <v>63</v>
      </c>
      <c r="C312" s="4">
        <v>6200</v>
      </c>
      <c r="D312" s="33">
        <v>1397.5710926719789</v>
      </c>
      <c r="E312" s="16"/>
      <c r="F312" s="3">
        <v>7.0000000000000007E-2</v>
      </c>
      <c r="G312">
        <v>1</v>
      </c>
      <c r="H312" s="5"/>
      <c r="I312" s="5"/>
      <c r="J312" s="34"/>
      <c r="K312" s="5"/>
    </row>
    <row r="313" spans="1:11" x14ac:dyDescent="0.25">
      <c r="A313" t="s">
        <v>81</v>
      </c>
      <c r="B313" t="s">
        <v>23</v>
      </c>
      <c r="C313" s="4">
        <v>4100</v>
      </c>
      <c r="D313" s="33">
        <v>924.20023870243767</v>
      </c>
      <c r="E313" s="16"/>
      <c r="F313" s="3">
        <v>7.0000000000000007E-2</v>
      </c>
      <c r="G313">
        <v>1</v>
      </c>
      <c r="H313" s="5"/>
      <c r="I313" s="5"/>
      <c r="J313" s="34"/>
      <c r="K313" s="5"/>
    </row>
    <row r="314" spans="1:11" x14ac:dyDescent="0.25">
      <c r="A314" t="s">
        <v>14</v>
      </c>
      <c r="B314" t="s">
        <v>15</v>
      </c>
      <c r="C314" s="4">
        <v>4100</v>
      </c>
      <c r="D314" s="33">
        <v>924.20023870243767</v>
      </c>
      <c r="E314" s="16"/>
      <c r="F314" s="3">
        <v>0.1</v>
      </c>
      <c r="H314" s="5"/>
      <c r="I314" s="5"/>
      <c r="J314" s="34"/>
      <c r="K314" s="5"/>
    </row>
    <row r="315" spans="1:11" x14ac:dyDescent="0.25">
      <c r="A315" t="s">
        <v>64</v>
      </c>
      <c r="B315" t="s">
        <v>65</v>
      </c>
      <c r="C315" s="4">
        <v>8900</v>
      </c>
      <c r="D315" s="33">
        <v>2006.1907620613893</v>
      </c>
      <c r="E315" s="16"/>
      <c r="F315" s="3">
        <v>0.06</v>
      </c>
      <c r="H315" s="5"/>
      <c r="I315" s="5"/>
      <c r="J315" s="34"/>
      <c r="K315" s="5"/>
    </row>
    <row r="316" spans="1:11" x14ac:dyDescent="0.25">
      <c r="A316" t="s">
        <v>58</v>
      </c>
      <c r="B316" t="s">
        <v>59</v>
      </c>
      <c r="C316" s="4">
        <v>5000</v>
      </c>
      <c r="D316" s="33">
        <v>1127.073461832241</v>
      </c>
      <c r="E316" s="16"/>
      <c r="F316" s="3">
        <v>0.09</v>
      </c>
      <c r="G316">
        <v>1</v>
      </c>
      <c r="H316" s="5"/>
      <c r="I316" s="5"/>
      <c r="J316" s="34"/>
      <c r="K316" s="5"/>
    </row>
    <row r="317" spans="1:11" x14ac:dyDescent="0.25">
      <c r="A317" t="s">
        <v>12</v>
      </c>
      <c r="B317" t="s">
        <v>86</v>
      </c>
      <c r="C317" s="4">
        <v>15400</v>
      </c>
      <c r="D317" s="33">
        <v>3471.3862624433027</v>
      </c>
      <c r="E317" s="16"/>
      <c r="F317" s="3">
        <v>7.0000000000000007E-2</v>
      </c>
      <c r="G317">
        <v>1</v>
      </c>
      <c r="H317" s="5"/>
      <c r="I317" s="5"/>
      <c r="J317" s="34"/>
      <c r="K317" s="5"/>
    </row>
    <row r="318" spans="1:11" x14ac:dyDescent="0.25">
      <c r="A318" t="s">
        <v>16</v>
      </c>
      <c r="B318" t="s">
        <v>17</v>
      </c>
      <c r="C318" s="4">
        <v>8900</v>
      </c>
      <c r="D318" s="33">
        <v>2006.1907620613893</v>
      </c>
      <c r="E318" s="16"/>
      <c r="F318" s="3">
        <v>0.15</v>
      </c>
      <c r="G318">
        <v>2</v>
      </c>
      <c r="H318" s="5"/>
      <c r="I318" s="5"/>
      <c r="J318" s="34"/>
      <c r="K318" s="5"/>
    </row>
    <row r="319" spans="1:11" x14ac:dyDescent="0.25">
      <c r="A319" t="s">
        <v>14</v>
      </c>
      <c r="B319" t="s">
        <v>15</v>
      </c>
      <c r="C319" s="4">
        <v>3400</v>
      </c>
      <c r="D319" s="33">
        <v>766.409954045924</v>
      </c>
      <c r="E319" s="16"/>
      <c r="F319" s="3">
        <v>7.0000000000000007E-2</v>
      </c>
      <c r="H319" s="5"/>
      <c r="I319" s="5"/>
      <c r="J319" s="34"/>
      <c r="K319" s="5"/>
    </row>
    <row r="320" spans="1:11" x14ac:dyDescent="0.25">
      <c r="A320" t="s">
        <v>12</v>
      </c>
      <c r="B320" t="s">
        <v>3</v>
      </c>
      <c r="C320" s="4">
        <v>23300</v>
      </c>
      <c r="D320" s="33">
        <v>5252.162332138244</v>
      </c>
      <c r="E320" s="16"/>
      <c r="F320" s="3">
        <v>0.06</v>
      </c>
      <c r="H320" s="5"/>
      <c r="I320" s="5"/>
      <c r="J320" s="34"/>
      <c r="K320" s="5"/>
    </row>
    <row r="321" spans="1:11" x14ac:dyDescent="0.25">
      <c r="A321" t="s">
        <v>64</v>
      </c>
      <c r="B321" t="s">
        <v>65</v>
      </c>
      <c r="C321" s="4">
        <v>4300</v>
      </c>
      <c r="D321" s="33">
        <v>969.28317717572736</v>
      </c>
      <c r="E321" s="16"/>
      <c r="F321" s="3">
        <v>0.15</v>
      </c>
      <c r="G321">
        <v>1</v>
      </c>
      <c r="H321" s="5"/>
      <c r="I321" s="5"/>
      <c r="J321" s="34"/>
      <c r="K321" s="5"/>
    </row>
    <row r="322" spans="1:11" x14ac:dyDescent="0.25">
      <c r="A322" t="s">
        <v>18</v>
      </c>
      <c r="B322" t="s">
        <v>19</v>
      </c>
      <c r="C322" s="4">
        <v>4600</v>
      </c>
      <c r="D322" s="33">
        <v>1036.9075848856619</v>
      </c>
      <c r="E322" s="16"/>
      <c r="F322" s="3">
        <v>0.05</v>
      </c>
      <c r="G322">
        <v>1</v>
      </c>
      <c r="H322" s="5"/>
      <c r="I322" s="5"/>
      <c r="J322" s="34"/>
      <c r="K322" s="5"/>
    </row>
    <row r="323" spans="1:11" x14ac:dyDescent="0.25">
      <c r="A323" t="s">
        <v>29</v>
      </c>
      <c r="B323" t="s">
        <v>30</v>
      </c>
      <c r="C323" s="4">
        <v>12200</v>
      </c>
      <c r="D323" s="33">
        <v>2750.0592468706682</v>
      </c>
      <c r="E323" s="16"/>
      <c r="F323" s="3">
        <v>0.04</v>
      </c>
      <c r="G323">
        <v>1</v>
      </c>
      <c r="H323" s="5"/>
      <c r="I323" s="5"/>
      <c r="J323" s="34"/>
      <c r="K323" s="5"/>
    </row>
    <row r="324" spans="1:11" x14ac:dyDescent="0.25">
      <c r="A324" t="s">
        <v>69</v>
      </c>
      <c r="B324" t="s">
        <v>70</v>
      </c>
      <c r="C324" s="4">
        <v>3400</v>
      </c>
      <c r="D324" s="33">
        <v>766.409954045924</v>
      </c>
      <c r="E324" s="16"/>
      <c r="F324" s="3">
        <v>0.15</v>
      </c>
      <c r="H324" s="5"/>
      <c r="I324" s="5"/>
      <c r="J324" s="34"/>
      <c r="K324" s="5"/>
    </row>
    <row r="325" spans="1:11" x14ac:dyDescent="0.25">
      <c r="A325" t="s">
        <v>12</v>
      </c>
      <c r="B325" t="s">
        <v>13</v>
      </c>
      <c r="C325" s="4">
        <v>4100</v>
      </c>
      <c r="D325" s="33">
        <v>924.20023870243767</v>
      </c>
      <c r="E325" s="16"/>
      <c r="F325" s="3">
        <v>7.0000000000000007E-2</v>
      </c>
      <c r="H325" s="5"/>
      <c r="I325" s="5"/>
      <c r="J325" s="34"/>
      <c r="K325" s="5"/>
    </row>
    <row r="326" spans="1:11" x14ac:dyDescent="0.25">
      <c r="A326" t="s">
        <v>76</v>
      </c>
      <c r="B326" t="s">
        <v>77</v>
      </c>
      <c r="C326" s="4">
        <v>7700</v>
      </c>
      <c r="D326" s="33">
        <v>1735.6931312216514</v>
      </c>
      <c r="E326" s="16"/>
      <c r="F326" s="3">
        <v>0.05</v>
      </c>
      <c r="G326">
        <v>2</v>
      </c>
      <c r="H326" s="5"/>
      <c r="I326" s="5"/>
      <c r="J326" s="34"/>
      <c r="K326" s="5"/>
    </row>
    <row r="327" spans="1:11" x14ac:dyDescent="0.25">
      <c r="A327" t="s">
        <v>73</v>
      </c>
      <c r="B327" t="s">
        <v>74</v>
      </c>
      <c r="C327" s="4">
        <v>7700</v>
      </c>
      <c r="D327" s="33">
        <v>1735.6931312216514</v>
      </c>
      <c r="E327" s="16"/>
      <c r="F327" s="3">
        <v>0.05</v>
      </c>
      <c r="H327" s="5"/>
      <c r="I327" s="5"/>
      <c r="J327" s="34"/>
      <c r="K327" s="5"/>
    </row>
    <row r="328" spans="1:11" x14ac:dyDescent="0.25">
      <c r="A328" t="s">
        <v>10</v>
      </c>
      <c r="B328" t="s">
        <v>11</v>
      </c>
      <c r="C328" s="4">
        <v>16000</v>
      </c>
      <c r="D328" s="33">
        <v>3606.6350778631713</v>
      </c>
      <c r="E328" s="16"/>
      <c r="F328" s="3">
        <v>0.15</v>
      </c>
      <c r="G328">
        <v>2</v>
      </c>
      <c r="H328" s="5"/>
      <c r="I328" s="5"/>
      <c r="J328" s="34"/>
      <c r="K328" s="5"/>
    </row>
    <row r="329" spans="1:11" x14ac:dyDescent="0.25">
      <c r="A329" t="s">
        <v>12</v>
      </c>
      <c r="B329" t="s">
        <v>13</v>
      </c>
      <c r="C329" s="4">
        <v>14600</v>
      </c>
      <c r="D329" s="33">
        <v>3291.054508550144</v>
      </c>
      <c r="E329" s="16"/>
      <c r="F329" s="3">
        <v>7.0000000000000007E-2</v>
      </c>
      <c r="H329" s="5"/>
      <c r="I329" s="5"/>
      <c r="J329" s="34"/>
      <c r="K329" s="5"/>
    </row>
    <row r="330" spans="1:11" x14ac:dyDescent="0.25">
      <c r="A330" t="s">
        <v>12</v>
      </c>
      <c r="B330" t="s">
        <v>24</v>
      </c>
      <c r="C330" s="4">
        <v>2900</v>
      </c>
      <c r="D330" s="33">
        <v>653.70260786269989</v>
      </c>
      <c r="E330" s="16"/>
      <c r="F330" s="3">
        <v>0.06</v>
      </c>
      <c r="H330" s="5"/>
      <c r="I330" s="5"/>
      <c r="J330" s="34"/>
      <c r="K330" s="5"/>
    </row>
    <row r="331" spans="1:11" x14ac:dyDescent="0.25">
      <c r="A331" t="s">
        <v>31</v>
      </c>
      <c r="B331" t="s">
        <v>32</v>
      </c>
      <c r="C331" s="4">
        <v>15400</v>
      </c>
      <c r="D331" s="33">
        <v>3471.3862624433027</v>
      </c>
      <c r="E331" s="16"/>
      <c r="F331" s="3">
        <v>0.04</v>
      </c>
      <c r="H331" s="5"/>
      <c r="I331" s="5"/>
      <c r="J331" s="34"/>
      <c r="K331" s="5"/>
    </row>
    <row r="332" spans="1:11" x14ac:dyDescent="0.25">
      <c r="A332" t="s">
        <v>29</v>
      </c>
      <c r="B332" t="s">
        <v>30</v>
      </c>
      <c r="C332" s="4">
        <v>16000</v>
      </c>
      <c r="D332" s="33">
        <v>3606.6350778631713</v>
      </c>
      <c r="E332" s="16"/>
      <c r="F332" s="3">
        <v>0.04</v>
      </c>
      <c r="G332">
        <v>1</v>
      </c>
      <c r="H332" s="5"/>
      <c r="I332" s="5"/>
      <c r="J332" s="34"/>
      <c r="K332" s="5"/>
    </row>
    <row r="333" spans="1:11" x14ac:dyDescent="0.25">
      <c r="A333" t="s">
        <v>14</v>
      </c>
      <c r="B333" t="s">
        <v>15</v>
      </c>
      <c r="C333" s="4">
        <v>4500</v>
      </c>
      <c r="D333" s="33">
        <v>1014.366115649017</v>
      </c>
      <c r="E333" s="16"/>
      <c r="F333" s="3">
        <v>7.0000000000000007E-2</v>
      </c>
      <c r="G333">
        <v>1</v>
      </c>
      <c r="H333" s="5"/>
      <c r="I333" s="5"/>
      <c r="J333" s="34"/>
      <c r="K333" s="5"/>
    </row>
    <row r="334" spans="1:11" x14ac:dyDescent="0.25">
      <c r="A334" t="s">
        <v>12</v>
      </c>
      <c r="B334" t="s">
        <v>24</v>
      </c>
      <c r="C334" s="4">
        <v>3400</v>
      </c>
      <c r="D334" s="33">
        <v>766.409954045924</v>
      </c>
      <c r="E334" s="16"/>
      <c r="F334" s="3">
        <v>0.09</v>
      </c>
      <c r="H334" s="5"/>
      <c r="I334" s="5"/>
      <c r="J334" s="34"/>
      <c r="K334" s="5"/>
    </row>
    <row r="335" spans="1:11" x14ac:dyDescent="0.25">
      <c r="A335" t="s">
        <v>69</v>
      </c>
      <c r="B335" t="s">
        <v>70</v>
      </c>
      <c r="C335" s="4">
        <v>3400</v>
      </c>
      <c r="D335" s="33">
        <v>766.409954045924</v>
      </c>
      <c r="E335" s="16"/>
      <c r="F335" s="3">
        <v>7.0000000000000007E-2</v>
      </c>
      <c r="H335" s="5"/>
      <c r="I335" s="5"/>
      <c r="J335" s="34"/>
      <c r="K335" s="5"/>
    </row>
    <row r="336" spans="1:11" x14ac:dyDescent="0.25">
      <c r="A336" t="s">
        <v>44</v>
      </c>
      <c r="B336" t="s">
        <v>45</v>
      </c>
      <c r="C336" s="4">
        <v>4500</v>
      </c>
      <c r="D336" s="33">
        <v>1014.366115649017</v>
      </c>
      <c r="E336" s="16"/>
      <c r="F336" s="3">
        <v>0.04</v>
      </c>
      <c r="G336">
        <v>1</v>
      </c>
      <c r="H336" s="5"/>
      <c r="I336" s="5"/>
      <c r="J336" s="34"/>
      <c r="K336" s="5"/>
    </row>
    <row r="337" spans="1:11" x14ac:dyDescent="0.25">
      <c r="A337" t="s">
        <v>4</v>
      </c>
      <c r="B337" t="s">
        <v>5</v>
      </c>
      <c r="C337" s="4">
        <v>2900</v>
      </c>
      <c r="D337" s="33">
        <v>653.70260786269989</v>
      </c>
      <c r="E337" s="16"/>
      <c r="F337" s="3">
        <v>0.06</v>
      </c>
      <c r="G337">
        <v>1</v>
      </c>
      <c r="H337" s="5"/>
      <c r="I337" s="5"/>
      <c r="J337" s="34"/>
      <c r="K337" s="5"/>
    </row>
    <row r="338" spans="1:11" x14ac:dyDescent="0.25">
      <c r="A338" t="s">
        <v>44</v>
      </c>
      <c r="B338" t="s">
        <v>45</v>
      </c>
      <c r="C338" s="4">
        <v>2900</v>
      </c>
      <c r="D338" s="33">
        <v>653.70260786269989</v>
      </c>
      <c r="E338" s="16"/>
      <c r="F338" s="3">
        <v>0.05</v>
      </c>
      <c r="H338" s="5"/>
      <c r="I338" s="5"/>
      <c r="J338" s="34"/>
      <c r="K338" s="5"/>
    </row>
    <row r="339" spans="1:11" x14ac:dyDescent="0.25">
      <c r="A339" t="s">
        <v>12</v>
      </c>
      <c r="B339" t="s">
        <v>86</v>
      </c>
      <c r="C339" s="4">
        <v>2900</v>
      </c>
      <c r="D339" s="33">
        <v>653.70260786269989</v>
      </c>
      <c r="E339" s="16"/>
      <c r="F339" s="3">
        <v>0.15</v>
      </c>
      <c r="H339" s="5"/>
      <c r="I339" s="5"/>
      <c r="J339" s="34"/>
      <c r="K339" s="5"/>
    </row>
    <row r="340" spans="1:11" x14ac:dyDescent="0.25">
      <c r="A340" t="s">
        <v>29</v>
      </c>
      <c r="B340" t="s">
        <v>30</v>
      </c>
      <c r="C340" s="4">
        <v>4200</v>
      </c>
      <c r="D340" s="33">
        <v>946.74170793908252</v>
      </c>
      <c r="E340" s="16"/>
      <c r="F340" s="3">
        <v>0.05</v>
      </c>
      <c r="G340">
        <v>1</v>
      </c>
      <c r="H340" s="5"/>
      <c r="I340" s="5"/>
      <c r="J340" s="34"/>
      <c r="K340" s="5"/>
    </row>
    <row r="341" spans="1:11" x14ac:dyDescent="0.25">
      <c r="A341" t="s">
        <v>6</v>
      </c>
      <c r="B341" t="s">
        <v>7</v>
      </c>
      <c r="C341" s="4">
        <v>15400</v>
      </c>
      <c r="D341" s="33">
        <v>3471.3862624433027</v>
      </c>
      <c r="E341" s="16"/>
      <c r="F341" s="3">
        <v>0.05</v>
      </c>
      <c r="G341">
        <v>1</v>
      </c>
      <c r="H341" s="5"/>
      <c r="I341" s="5"/>
      <c r="J341" s="34"/>
      <c r="K341" s="5"/>
    </row>
    <row r="342" spans="1:11" x14ac:dyDescent="0.25">
      <c r="A342" t="s">
        <v>69</v>
      </c>
      <c r="B342" t="s">
        <v>70</v>
      </c>
      <c r="C342" s="4">
        <v>4300</v>
      </c>
      <c r="D342" s="33">
        <v>969.28317717572736</v>
      </c>
      <c r="E342" s="16"/>
      <c r="F342" s="3">
        <v>0.05</v>
      </c>
      <c r="G342">
        <v>1</v>
      </c>
      <c r="H342" s="5"/>
      <c r="I342" s="5"/>
      <c r="J342" s="34"/>
      <c r="K342" s="5"/>
    </row>
    <row r="343" spans="1:11" x14ac:dyDescent="0.25">
      <c r="A343" t="s">
        <v>29</v>
      </c>
      <c r="B343" t="s">
        <v>9</v>
      </c>
      <c r="C343" s="4">
        <v>2900</v>
      </c>
      <c r="D343" s="33">
        <v>653.70260786269989</v>
      </c>
      <c r="E343" s="16"/>
      <c r="F343" s="3">
        <v>0.1</v>
      </c>
      <c r="H343" s="5"/>
      <c r="I343" s="5"/>
      <c r="J343" s="34"/>
      <c r="K343" s="5"/>
    </row>
    <row r="344" spans="1:11" x14ac:dyDescent="0.25">
      <c r="A344" t="s">
        <v>14</v>
      </c>
      <c r="B344" t="s">
        <v>15</v>
      </c>
      <c r="C344" s="4">
        <v>25000</v>
      </c>
      <c r="D344" s="33">
        <v>5635.3673091612054</v>
      </c>
      <c r="E344" s="16"/>
      <c r="F344" s="3">
        <v>0.09</v>
      </c>
      <c r="H344" s="5"/>
      <c r="I344" s="5"/>
      <c r="J344" s="34"/>
      <c r="K344" s="5"/>
    </row>
    <row r="345" spans="1:11" x14ac:dyDescent="0.25">
      <c r="A345" t="s">
        <v>54</v>
      </c>
      <c r="B345" t="s">
        <v>55</v>
      </c>
      <c r="C345" s="4">
        <v>13500</v>
      </c>
      <c r="D345" s="33">
        <v>3043.0983469470511</v>
      </c>
      <c r="E345" s="16"/>
      <c r="F345" s="3">
        <v>0.04</v>
      </c>
      <c r="H345" s="5"/>
      <c r="I345" s="5"/>
      <c r="J345" s="34"/>
      <c r="K345" s="5"/>
    </row>
    <row r="346" spans="1:11" x14ac:dyDescent="0.25">
      <c r="A346" t="s">
        <v>60</v>
      </c>
      <c r="B346" t="s">
        <v>61</v>
      </c>
      <c r="C346" s="4">
        <v>23300</v>
      </c>
      <c r="D346" s="33">
        <v>5252.162332138244</v>
      </c>
      <c r="E346" s="16"/>
      <c r="F346" s="3">
        <v>0.04</v>
      </c>
      <c r="H346" s="5"/>
      <c r="I346" s="5"/>
      <c r="J346" s="34"/>
      <c r="K346" s="5"/>
    </row>
    <row r="347" spans="1:11" x14ac:dyDescent="0.25">
      <c r="A347" t="s">
        <v>12</v>
      </c>
      <c r="B347" t="s">
        <v>13</v>
      </c>
      <c r="C347" s="4">
        <v>4100</v>
      </c>
      <c r="D347" s="33">
        <v>924.20023870243767</v>
      </c>
      <c r="E347" s="16"/>
      <c r="F347" s="3">
        <v>0.05</v>
      </c>
      <c r="G347">
        <v>2</v>
      </c>
      <c r="H347" s="5"/>
      <c r="I347" s="5"/>
      <c r="J347" s="34"/>
      <c r="K347" s="5"/>
    </row>
    <row r="348" spans="1:11" x14ac:dyDescent="0.25">
      <c r="A348" t="s">
        <v>75</v>
      </c>
      <c r="B348" t="s">
        <v>21</v>
      </c>
      <c r="C348" s="4">
        <v>3800</v>
      </c>
      <c r="D348" s="33">
        <v>856.57583099250326</v>
      </c>
      <c r="E348" s="16"/>
      <c r="F348" s="3">
        <v>7.0000000000000007E-2</v>
      </c>
      <c r="H348" s="5"/>
      <c r="I348" s="5"/>
      <c r="J348" s="34"/>
      <c r="K348" s="5"/>
    </row>
    <row r="349" spans="1:11" x14ac:dyDescent="0.25">
      <c r="A349" t="s">
        <v>67</v>
      </c>
      <c r="B349" t="s">
        <v>68</v>
      </c>
      <c r="C349" s="4">
        <v>3800</v>
      </c>
      <c r="D349" s="33">
        <v>856.57583099250326</v>
      </c>
      <c r="E349" s="16"/>
      <c r="F349" s="3">
        <v>0.06</v>
      </c>
      <c r="G349">
        <v>1</v>
      </c>
      <c r="H349" s="5"/>
      <c r="I349" s="5"/>
      <c r="J349" s="34"/>
      <c r="K349" s="5"/>
    </row>
    <row r="350" spans="1:11" x14ac:dyDescent="0.25">
      <c r="A350" t="s">
        <v>50</v>
      </c>
      <c r="B350" t="s">
        <v>51</v>
      </c>
      <c r="C350" s="4">
        <v>2900</v>
      </c>
      <c r="D350" s="33">
        <v>653.70260786269989</v>
      </c>
      <c r="E350" s="16"/>
      <c r="F350" s="3">
        <v>0.15</v>
      </c>
      <c r="G350">
        <v>3</v>
      </c>
      <c r="H350" s="5"/>
      <c r="I350" s="5"/>
      <c r="J350" s="34"/>
      <c r="K350" s="5"/>
    </row>
    <row r="351" spans="1:11" x14ac:dyDescent="0.25">
      <c r="A351" t="s">
        <v>29</v>
      </c>
      <c r="B351" t="s">
        <v>9</v>
      </c>
      <c r="C351" s="4">
        <v>2900</v>
      </c>
      <c r="D351" s="33">
        <v>653.70260786269989</v>
      </c>
      <c r="E351" s="16"/>
      <c r="F351" s="3">
        <v>0.06</v>
      </c>
      <c r="H351" s="5"/>
      <c r="I351" s="5"/>
      <c r="J351" s="34"/>
      <c r="K351" s="5"/>
    </row>
    <row r="352" spans="1:11" x14ac:dyDescent="0.25">
      <c r="A352" t="s">
        <v>66</v>
      </c>
      <c r="B352" t="s">
        <v>13</v>
      </c>
      <c r="C352" s="4">
        <v>4500</v>
      </c>
      <c r="D352" s="33">
        <v>1014.366115649017</v>
      </c>
      <c r="E352" s="16"/>
      <c r="F352" s="3">
        <v>7.0000000000000007E-2</v>
      </c>
      <c r="G352">
        <v>1</v>
      </c>
      <c r="H352" s="5"/>
      <c r="I352" s="5"/>
      <c r="J352" s="34"/>
      <c r="K352" s="5"/>
    </row>
    <row r="353" spans="1:11" x14ac:dyDescent="0.25">
      <c r="A353" t="s">
        <v>31</v>
      </c>
      <c r="B353" t="s">
        <v>32</v>
      </c>
      <c r="C353" s="4">
        <v>3800</v>
      </c>
      <c r="D353" s="33">
        <v>856.57583099250326</v>
      </c>
      <c r="E353" s="16"/>
      <c r="F353" s="3">
        <v>0.09</v>
      </c>
      <c r="G353">
        <v>1</v>
      </c>
      <c r="H353" s="5"/>
      <c r="I353" s="5"/>
      <c r="J353" s="34"/>
      <c r="K353" s="5"/>
    </row>
    <row r="354" spans="1:11" x14ac:dyDescent="0.25">
      <c r="A354" t="s">
        <v>78</v>
      </c>
      <c r="B354" t="s">
        <v>63</v>
      </c>
      <c r="C354" s="4">
        <v>12200</v>
      </c>
      <c r="D354" s="33">
        <v>2750.0592468706682</v>
      </c>
      <c r="E354" s="16"/>
      <c r="F354" s="3">
        <v>0.09</v>
      </c>
      <c r="G354">
        <v>2</v>
      </c>
      <c r="H354" s="5"/>
      <c r="I354" s="5"/>
      <c r="J354" s="34"/>
      <c r="K354" s="5"/>
    </row>
    <row r="355" spans="1:11" x14ac:dyDescent="0.25">
      <c r="A355" t="s">
        <v>16</v>
      </c>
      <c r="B355" t="s">
        <v>17</v>
      </c>
      <c r="C355" s="4">
        <v>6200</v>
      </c>
      <c r="D355" s="33">
        <v>1397.5710926719789</v>
      </c>
      <c r="E355" s="16"/>
      <c r="F355" s="3">
        <v>0.06</v>
      </c>
      <c r="G355">
        <v>2</v>
      </c>
      <c r="H355" s="5"/>
      <c r="I355" s="5"/>
      <c r="J355" s="34"/>
      <c r="K355" s="5"/>
    </row>
    <row r="356" spans="1:11" x14ac:dyDescent="0.25">
      <c r="A356" t="s">
        <v>20</v>
      </c>
      <c r="B356" t="s">
        <v>21</v>
      </c>
      <c r="C356" s="4">
        <v>28000</v>
      </c>
      <c r="D356" s="33">
        <v>6311.6113862605498</v>
      </c>
      <c r="E356" s="16"/>
      <c r="F356" s="3">
        <v>0.1</v>
      </c>
      <c r="H356" s="5"/>
      <c r="I356" s="5"/>
      <c r="J356" s="34"/>
      <c r="K356" s="5"/>
    </row>
    <row r="357" spans="1:11" x14ac:dyDescent="0.25">
      <c r="A357" t="s">
        <v>12</v>
      </c>
      <c r="B357" t="s">
        <v>24</v>
      </c>
      <c r="C357" s="4">
        <v>6200</v>
      </c>
      <c r="D357" s="33">
        <v>1397.5710926719789</v>
      </c>
      <c r="E357" s="16"/>
      <c r="F357" s="3">
        <v>7.0000000000000007E-2</v>
      </c>
      <c r="G357">
        <v>2</v>
      </c>
      <c r="H357" s="5"/>
      <c r="I357" s="5"/>
      <c r="J357" s="34"/>
      <c r="K357" s="5"/>
    </row>
    <row r="358" spans="1:11" x14ac:dyDescent="0.25">
      <c r="A358" t="s">
        <v>80</v>
      </c>
      <c r="B358" t="s">
        <v>57</v>
      </c>
      <c r="C358" s="4">
        <v>4300</v>
      </c>
      <c r="D358" s="33">
        <v>969.28317717572736</v>
      </c>
      <c r="E358" s="16"/>
      <c r="F358" s="3">
        <v>0.05</v>
      </c>
      <c r="G358">
        <v>1</v>
      </c>
      <c r="H358" s="5"/>
      <c r="I358" s="5"/>
      <c r="J358" s="34"/>
      <c r="K358" s="5"/>
    </row>
    <row r="359" spans="1:11" x14ac:dyDescent="0.25">
      <c r="A359" t="s">
        <v>42</v>
      </c>
      <c r="B359" t="s">
        <v>43</v>
      </c>
      <c r="C359" s="4">
        <v>2900</v>
      </c>
      <c r="D359" s="33">
        <v>653.70260786269989</v>
      </c>
      <c r="E359" s="16"/>
      <c r="F359" s="3">
        <v>0.06</v>
      </c>
      <c r="G359">
        <v>2</v>
      </c>
      <c r="H359" s="5"/>
      <c r="I359" s="5"/>
      <c r="J359" s="34"/>
      <c r="K359" s="5"/>
    </row>
    <row r="360" spans="1:11" x14ac:dyDescent="0.25">
      <c r="A360" t="s">
        <v>18</v>
      </c>
      <c r="B360" t="s">
        <v>19</v>
      </c>
      <c r="C360" s="4">
        <v>13500</v>
      </c>
      <c r="D360" s="33">
        <v>3043.0983469470511</v>
      </c>
      <c r="E360" s="16"/>
      <c r="F360" s="3">
        <v>0.06</v>
      </c>
      <c r="H360" s="5"/>
      <c r="I360" s="5"/>
      <c r="J360" s="34"/>
      <c r="K360" s="5"/>
    </row>
    <row r="361" spans="1:11" x14ac:dyDescent="0.25">
      <c r="A361" t="s">
        <v>40</v>
      </c>
      <c r="B361" t="s">
        <v>41</v>
      </c>
      <c r="C361" s="4">
        <v>4100</v>
      </c>
      <c r="D361" s="33">
        <v>924.20023870243767</v>
      </c>
      <c r="E361" s="16"/>
      <c r="F361" s="3">
        <v>0.06</v>
      </c>
      <c r="H361" s="5"/>
      <c r="I361" s="5"/>
      <c r="J361" s="34"/>
      <c r="K361" s="5"/>
    </row>
    <row r="362" spans="1:11" x14ac:dyDescent="0.25">
      <c r="A362" t="s">
        <v>64</v>
      </c>
      <c r="B362" t="s">
        <v>65</v>
      </c>
      <c r="C362" s="4">
        <v>4600</v>
      </c>
      <c r="D362" s="33">
        <v>1036.9075848856619</v>
      </c>
      <c r="E362" s="16"/>
      <c r="F362" s="3">
        <v>0.09</v>
      </c>
      <c r="H362" s="5"/>
      <c r="I362" s="5"/>
      <c r="J362" s="34"/>
      <c r="K362" s="5"/>
    </row>
    <row r="363" spans="1:11" x14ac:dyDescent="0.25">
      <c r="A363" t="s">
        <v>54</v>
      </c>
      <c r="B363" t="s">
        <v>55</v>
      </c>
      <c r="C363" s="4">
        <v>12200</v>
      </c>
      <c r="D363" s="33">
        <v>2750.0592468706682</v>
      </c>
      <c r="E363" s="16"/>
      <c r="F363" s="3">
        <v>0.04</v>
      </c>
      <c r="G363">
        <v>1</v>
      </c>
      <c r="H363" s="5"/>
      <c r="I363" s="5"/>
      <c r="J363" s="34"/>
      <c r="K363" s="5"/>
    </row>
    <row r="364" spans="1:11" x14ac:dyDescent="0.25">
      <c r="A364" t="s">
        <v>37</v>
      </c>
      <c r="B364" t="s">
        <v>38</v>
      </c>
      <c r="C364" s="4">
        <v>4100</v>
      </c>
      <c r="D364" s="33">
        <v>924.20023870243767</v>
      </c>
      <c r="E364" s="16"/>
      <c r="F364" s="3">
        <v>7.0000000000000007E-2</v>
      </c>
      <c r="H364" s="5"/>
      <c r="I364" s="5"/>
      <c r="J364" s="34"/>
      <c r="K364" s="5"/>
    </row>
    <row r="365" spans="1:11" x14ac:dyDescent="0.25">
      <c r="A365" t="s">
        <v>6</v>
      </c>
      <c r="B365" t="s">
        <v>7</v>
      </c>
      <c r="C365" s="4">
        <v>4100</v>
      </c>
      <c r="D365" s="33">
        <v>924.20023870243767</v>
      </c>
      <c r="E365" s="16"/>
      <c r="F365" s="3">
        <v>7.0000000000000007E-2</v>
      </c>
      <c r="G365">
        <v>1</v>
      </c>
      <c r="H365" s="5"/>
      <c r="I365" s="5"/>
      <c r="J365" s="34"/>
      <c r="K365" s="5"/>
    </row>
    <row r="366" spans="1:11" x14ac:dyDescent="0.25">
      <c r="A366" t="s">
        <v>56</v>
      </c>
      <c r="B366" t="s">
        <v>57</v>
      </c>
      <c r="C366" s="4">
        <v>13500</v>
      </c>
      <c r="D366" s="33">
        <v>3043.0983469470511</v>
      </c>
      <c r="E366" s="16"/>
      <c r="F366" s="3">
        <v>0.06</v>
      </c>
      <c r="G366">
        <v>3</v>
      </c>
      <c r="H366" s="5"/>
      <c r="I366" s="5"/>
      <c r="J366" s="34"/>
      <c r="K366" s="5"/>
    </row>
    <row r="367" spans="1:11" x14ac:dyDescent="0.25">
      <c r="A367" t="s">
        <v>75</v>
      </c>
      <c r="B367" t="s">
        <v>21</v>
      </c>
      <c r="C367" s="4">
        <v>14600</v>
      </c>
      <c r="D367" s="33">
        <v>3291.054508550144</v>
      </c>
      <c r="E367" s="16"/>
      <c r="F367" s="3">
        <v>0.06</v>
      </c>
      <c r="H367" s="5"/>
      <c r="I367" s="5"/>
      <c r="J367" s="34"/>
      <c r="K367" s="5"/>
    </row>
    <row r="368" spans="1:11" x14ac:dyDescent="0.25">
      <c r="A368" t="s">
        <v>80</v>
      </c>
      <c r="B368" t="s">
        <v>57</v>
      </c>
      <c r="C368" s="4">
        <v>2900</v>
      </c>
      <c r="D368" s="33">
        <v>653.70260786269989</v>
      </c>
      <c r="E368" s="16"/>
      <c r="F368" s="3">
        <v>0.1</v>
      </c>
      <c r="H368" s="5"/>
      <c r="I368" s="5"/>
      <c r="J368" s="34"/>
      <c r="K368" s="5"/>
    </row>
    <row r="369" spans="1:11" x14ac:dyDescent="0.25">
      <c r="A369" t="s">
        <v>39</v>
      </c>
      <c r="B369" t="s">
        <v>30</v>
      </c>
      <c r="C369" s="4">
        <v>4300</v>
      </c>
      <c r="D369" s="33">
        <v>969.28317717572736</v>
      </c>
      <c r="E369" s="16"/>
      <c r="F369" s="3">
        <v>0.05</v>
      </c>
      <c r="H369" s="5"/>
      <c r="I369" s="5"/>
      <c r="J369" s="34"/>
      <c r="K369" s="5"/>
    </row>
    <row r="370" spans="1:11" x14ac:dyDescent="0.25">
      <c r="A370" t="s">
        <v>58</v>
      </c>
      <c r="B370" t="s">
        <v>59</v>
      </c>
      <c r="C370" s="4">
        <v>3800</v>
      </c>
      <c r="D370" s="33">
        <v>856.57583099250326</v>
      </c>
      <c r="E370" s="16"/>
      <c r="F370" s="3">
        <v>0.06</v>
      </c>
      <c r="G370">
        <v>2</v>
      </c>
      <c r="H370" s="5"/>
      <c r="I370" s="5"/>
      <c r="J370" s="34"/>
      <c r="K370" s="5"/>
    </row>
    <row r="371" spans="1:11" x14ac:dyDescent="0.25">
      <c r="A371" t="s">
        <v>12</v>
      </c>
      <c r="B371" t="s">
        <v>86</v>
      </c>
      <c r="C371" s="4">
        <v>4200</v>
      </c>
      <c r="D371" s="33">
        <v>946.74170793908252</v>
      </c>
      <c r="E371" s="16"/>
      <c r="F371" s="3">
        <v>0.05</v>
      </c>
      <c r="G371">
        <v>2</v>
      </c>
      <c r="H371" s="5"/>
      <c r="I371" s="5"/>
      <c r="J371" s="34"/>
      <c r="K371" s="5"/>
    </row>
    <row r="372" spans="1:11" x14ac:dyDescent="0.25">
      <c r="A372" t="s">
        <v>20</v>
      </c>
      <c r="B372" t="s">
        <v>21</v>
      </c>
      <c r="C372" s="4">
        <v>7700</v>
      </c>
      <c r="D372" s="33">
        <v>1735.6931312216514</v>
      </c>
      <c r="E372" s="16"/>
      <c r="F372" s="3">
        <v>0.1</v>
      </c>
      <c r="G372">
        <v>2</v>
      </c>
      <c r="H372" s="5"/>
      <c r="I372" s="5"/>
      <c r="J372" s="34"/>
      <c r="K372" s="5"/>
    </row>
    <row r="373" spans="1:11" x14ac:dyDescent="0.25">
      <c r="A373" t="s">
        <v>75</v>
      </c>
      <c r="B373" t="s">
        <v>21</v>
      </c>
      <c r="C373" s="4">
        <v>12200</v>
      </c>
      <c r="D373" s="33">
        <v>2750.0592468706682</v>
      </c>
      <c r="E373" s="16"/>
      <c r="F373" s="3">
        <v>0.05</v>
      </c>
      <c r="G373">
        <v>5</v>
      </c>
      <c r="H373" s="5"/>
      <c r="I373" s="5"/>
      <c r="J373" s="34"/>
      <c r="K373" s="5"/>
    </row>
    <row r="374" spans="1:11" x14ac:dyDescent="0.25">
      <c r="A374" t="s">
        <v>4</v>
      </c>
      <c r="B374" t="s">
        <v>5</v>
      </c>
      <c r="C374" s="4">
        <v>6200</v>
      </c>
      <c r="D374" s="33">
        <v>1397.5710926719789</v>
      </c>
      <c r="E374" s="16"/>
      <c r="F374" s="3">
        <v>0.04</v>
      </c>
      <c r="G374">
        <v>1</v>
      </c>
      <c r="H374" s="5"/>
      <c r="I374" s="5"/>
      <c r="J374" s="34"/>
      <c r="K374" s="5"/>
    </row>
    <row r="375" spans="1:11" x14ac:dyDescent="0.25">
      <c r="A375" t="s">
        <v>4</v>
      </c>
      <c r="B375" t="s">
        <v>5</v>
      </c>
      <c r="C375" s="4">
        <v>3800</v>
      </c>
      <c r="D375" s="33">
        <v>856.57583099250326</v>
      </c>
      <c r="E375" s="16"/>
      <c r="F375" s="3">
        <v>0.1</v>
      </c>
      <c r="G375">
        <v>1</v>
      </c>
      <c r="H375" s="5"/>
      <c r="I375" s="5"/>
      <c r="J375" s="34"/>
      <c r="K375" s="5"/>
    </row>
    <row r="376" spans="1:11" x14ac:dyDescent="0.25">
      <c r="A376" t="s">
        <v>33</v>
      </c>
      <c r="B376" t="s">
        <v>34</v>
      </c>
      <c r="C376" s="4">
        <v>4500</v>
      </c>
      <c r="D376" s="33">
        <v>1014.366115649017</v>
      </c>
      <c r="E376" s="16"/>
      <c r="F376" s="3">
        <v>0.09</v>
      </c>
      <c r="H376" s="5"/>
      <c r="I376" s="5"/>
      <c r="J376" s="34"/>
      <c r="K376" s="5"/>
    </row>
    <row r="377" spans="1:11" x14ac:dyDescent="0.25">
      <c r="A377" t="s">
        <v>26</v>
      </c>
      <c r="B377" t="s">
        <v>9</v>
      </c>
      <c r="C377" s="4">
        <v>4100</v>
      </c>
      <c r="D377" s="33">
        <v>924.20023870243767</v>
      </c>
      <c r="E377" s="16"/>
      <c r="F377" s="3">
        <v>0.06</v>
      </c>
      <c r="H377" s="5"/>
      <c r="I377" s="5"/>
      <c r="J377" s="34"/>
      <c r="K377" s="5"/>
    </row>
    <row r="378" spans="1:11" x14ac:dyDescent="0.25">
      <c r="A378" t="s">
        <v>12</v>
      </c>
      <c r="B378" t="s">
        <v>13</v>
      </c>
      <c r="C378" s="4">
        <v>12200</v>
      </c>
      <c r="D378" s="33">
        <v>2750.0592468706682</v>
      </c>
      <c r="E378" s="16"/>
      <c r="F378" s="3">
        <v>0.09</v>
      </c>
      <c r="G378">
        <v>1</v>
      </c>
      <c r="H378" s="5"/>
      <c r="I378" s="5"/>
      <c r="J378" s="34"/>
      <c r="K378" s="5"/>
    </row>
    <row r="379" spans="1:11" x14ac:dyDescent="0.25">
      <c r="A379" t="s">
        <v>12</v>
      </c>
      <c r="B379" t="s">
        <v>13</v>
      </c>
      <c r="C379" s="4">
        <v>2900</v>
      </c>
      <c r="D379" s="33">
        <v>653.70260786269989</v>
      </c>
      <c r="E379" s="16"/>
      <c r="F379" s="3">
        <v>0.06</v>
      </c>
      <c r="H379" s="5"/>
      <c r="I379" s="5"/>
      <c r="J379" s="34"/>
      <c r="K379" s="5"/>
    </row>
    <row r="380" spans="1:11" x14ac:dyDescent="0.25">
      <c r="A380" t="s">
        <v>54</v>
      </c>
      <c r="B380" t="s">
        <v>55</v>
      </c>
      <c r="C380" s="4">
        <v>25000</v>
      </c>
      <c r="D380" s="33">
        <v>5635.3673091612054</v>
      </c>
      <c r="E380" s="16"/>
      <c r="F380" s="3">
        <v>7.0000000000000007E-2</v>
      </c>
      <c r="H380" s="5"/>
      <c r="I380" s="5"/>
      <c r="J380" s="34"/>
      <c r="K380" s="5"/>
    </row>
    <row r="381" spans="1:11" x14ac:dyDescent="0.25">
      <c r="A381" t="s">
        <v>12</v>
      </c>
      <c r="B381" t="s">
        <v>24</v>
      </c>
      <c r="C381" s="4">
        <v>4600</v>
      </c>
      <c r="D381" s="33">
        <v>1036.9075848856619</v>
      </c>
      <c r="E381" s="16"/>
      <c r="F381" s="3">
        <v>0.05</v>
      </c>
      <c r="H381" s="5"/>
      <c r="I381" s="5"/>
      <c r="J381" s="34"/>
      <c r="K381" s="5"/>
    </row>
    <row r="382" spans="1:11" x14ac:dyDescent="0.25">
      <c r="A382" t="s">
        <v>8</v>
      </c>
      <c r="B382" t="s">
        <v>9</v>
      </c>
      <c r="C382" s="4">
        <v>3800</v>
      </c>
      <c r="D382" s="33">
        <v>856.57583099250326</v>
      </c>
      <c r="E382" s="16"/>
      <c r="F382" s="3">
        <v>0.1</v>
      </c>
      <c r="H382" s="5"/>
      <c r="I382" s="5"/>
      <c r="J382" s="34"/>
      <c r="K382" s="5"/>
    </row>
    <row r="383" spans="1:11" x14ac:dyDescent="0.25">
      <c r="A383" t="s">
        <v>54</v>
      </c>
      <c r="B383" t="s">
        <v>55</v>
      </c>
      <c r="C383" s="4">
        <v>12200</v>
      </c>
      <c r="D383" s="33">
        <v>2750.0592468706682</v>
      </c>
      <c r="E383" s="16"/>
      <c r="F383" s="3">
        <v>0.06</v>
      </c>
      <c r="H383" s="5"/>
      <c r="I383" s="5"/>
      <c r="J383" s="34"/>
      <c r="K383" s="5"/>
    </row>
    <row r="384" spans="1:11" x14ac:dyDescent="0.25">
      <c r="A384" t="s">
        <v>79</v>
      </c>
      <c r="B384" t="s">
        <v>47</v>
      </c>
      <c r="C384" s="4">
        <v>6900</v>
      </c>
      <c r="D384" s="33">
        <v>1555.3613773284928</v>
      </c>
      <c r="E384" s="16"/>
      <c r="F384" s="3">
        <v>0.05</v>
      </c>
      <c r="H384" s="5"/>
      <c r="I384" s="5"/>
      <c r="J384" s="34"/>
      <c r="K384" s="5"/>
    </row>
    <row r="385" spans="1:11" x14ac:dyDescent="0.25">
      <c r="A385" t="s">
        <v>62</v>
      </c>
      <c r="B385" t="s">
        <v>63</v>
      </c>
      <c r="C385" s="4">
        <v>12200</v>
      </c>
      <c r="D385" s="33">
        <v>2750.0592468706682</v>
      </c>
      <c r="E385" s="16"/>
      <c r="F385" s="3">
        <v>0.06</v>
      </c>
      <c r="G385">
        <v>2</v>
      </c>
      <c r="H385" s="5"/>
      <c r="I385" s="5"/>
      <c r="J385" s="34"/>
      <c r="K385" s="5"/>
    </row>
    <row r="386" spans="1:11" x14ac:dyDescent="0.25">
      <c r="A386" t="s">
        <v>10</v>
      </c>
      <c r="B386" t="s">
        <v>11</v>
      </c>
      <c r="C386" s="4">
        <v>3800</v>
      </c>
      <c r="D386" s="33">
        <v>856.57583099250326</v>
      </c>
      <c r="E386" s="16"/>
      <c r="F386" s="3">
        <v>0.06</v>
      </c>
      <c r="H386" s="5"/>
      <c r="I386" s="5"/>
      <c r="J386" s="34"/>
      <c r="K386" s="5"/>
    </row>
    <row r="387" spans="1:11" x14ac:dyDescent="0.25">
      <c r="A387" t="s">
        <v>18</v>
      </c>
      <c r="B387" t="s">
        <v>19</v>
      </c>
      <c r="C387" s="4">
        <v>3800</v>
      </c>
      <c r="D387" s="33">
        <v>856.57583099250326</v>
      </c>
      <c r="E387" s="16"/>
      <c r="F387" s="3">
        <v>0.09</v>
      </c>
      <c r="H387" s="5"/>
      <c r="I387" s="5"/>
      <c r="J387" s="34"/>
      <c r="K387" s="5"/>
    </row>
    <row r="388" spans="1:11" x14ac:dyDescent="0.25">
      <c r="A388" t="s">
        <v>54</v>
      </c>
      <c r="B388" t="s">
        <v>55</v>
      </c>
      <c r="C388" s="4">
        <v>20000</v>
      </c>
      <c r="D388" s="33">
        <v>4508.2938473289641</v>
      </c>
      <c r="E388" s="16"/>
      <c r="F388" s="3">
        <v>0.15</v>
      </c>
      <c r="H388" s="5"/>
      <c r="I388" s="5"/>
      <c r="J388" s="34"/>
      <c r="K388" s="5"/>
    </row>
    <row r="389" spans="1:11" x14ac:dyDescent="0.25">
      <c r="D389" s="15"/>
      <c r="E389" s="15"/>
      <c r="F389" s="15"/>
      <c r="G389" s="15"/>
      <c r="H389" s="15"/>
      <c r="I389" s="15"/>
      <c r="J389" s="15"/>
    </row>
    <row r="390" spans="1:11" x14ac:dyDescent="0.25">
      <c r="I390" s="5"/>
    </row>
  </sheetData>
  <mergeCells count="1">
    <mergeCell ref="G3:G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6FC1-575E-4CB1-88CE-84572C91CCB9}">
  <sheetPr>
    <tabColor theme="7" tint="0.79998168889431442"/>
  </sheetPr>
  <dimension ref="A1:N390"/>
  <sheetViews>
    <sheetView workbookViewId="0">
      <selection activeCell="A2" sqref="A2"/>
    </sheetView>
  </sheetViews>
  <sheetFormatPr defaultRowHeight="15" x14ac:dyDescent="0.25"/>
  <cols>
    <col min="1" max="1" width="16" customWidth="1"/>
    <col min="2" max="2" width="10.7109375" bestFit="1" customWidth="1"/>
    <col min="3" max="3" width="17.140625" style="2" customWidth="1"/>
    <col min="4" max="4" width="24.7109375" bestFit="1" customWidth="1"/>
    <col min="5" max="5" width="16.140625" style="6" customWidth="1"/>
    <col min="6" max="6" width="15" style="10" customWidth="1"/>
    <col min="7" max="7" width="12.5703125" customWidth="1"/>
    <col min="8" max="8" width="16.85546875" customWidth="1"/>
    <col min="9" max="9" width="23.5703125" bestFit="1" customWidth="1"/>
    <col min="10" max="10" width="24.5703125" customWidth="1"/>
    <col min="11" max="11" width="21.42578125" bestFit="1" customWidth="1"/>
    <col min="12" max="12" width="9.85546875" bestFit="1" customWidth="1"/>
    <col min="13" max="13" width="15.42578125" bestFit="1" customWidth="1"/>
    <col min="14" max="14" width="9.42578125" bestFit="1" customWidth="1"/>
  </cols>
  <sheetData>
    <row r="1" spans="1:14" s="14" customFormat="1" x14ac:dyDescent="0.25">
      <c r="A1" s="11" t="s">
        <v>91</v>
      </c>
      <c r="B1" s="11"/>
      <c r="C1" s="12"/>
      <c r="D1" s="11"/>
      <c r="E1" s="13">
        <f ca="1">IF(E7="",0,IF(_xlfn.ISFORMULA(E7),IF(FIND("$3",_xlfn.FORMULATEXT(E7))&lt;&gt;0,IF(FIND("C7",_xlfn.FORMULATEXT(E7))&lt;&gt;0,IF(ROUND(ROUND(SUM(E7:E388),2)-ROUNDDOWN(SUM(E7:E388),0),2)=0.11,(ROUND(SUM(E7:E388),2)-FLOOR(SUM(E7:E388),2))*500,44),404),307),1289))</f>
        <v>0</v>
      </c>
      <c r="F1" s="13"/>
      <c r="G1" s="13"/>
      <c r="H1" s="13">
        <f ca="1">IF(H7="",0,IF(_xlfn.ISFORMULA(H7),IF(FIND("C7",_xlfn.FORMULATEXT(H7))&lt;&gt;0,IF(FIND("G7",_xlfn.FORMULATEXT(H7))&lt;&gt;0,IF(ROUND(ROUND(SUM(H7:H388),2)-ROUNDDOWN(SUM(H7:H388),0),2)&lt;&gt;0.52,15,(ROUND(SUM(H7:H388),2)-ROUNDDOWN(SUM(H7:H388),0))*700),405),210),155))</f>
        <v>0</v>
      </c>
      <c r="I1" s="11">
        <f ca="1">IF(I8="",0,IF(_xlfn.ISFORMULA(I7),IF(MID(_xlfn.FORMULATEXT(I7),3,1)="e",IF(I7="",IF(I29=400,IF((COUNTIF(I7:I388,"")-29)/3=50,(COUNTIF(I7:I388,"400")+40)/3,(COUNTIF(I7:I388,"")-29)/5),COUNTIF(I7:I388,"")/10),(COUNTIF(I7:I388,"")-19)/20),COUNTIF(I7:I388,"")/17.9),(COUNTIF(I7:I388,"")+10)/9))</f>
        <v>0</v>
      </c>
      <c r="J1" s="17">
        <f>IF(J7="",0,ROUND(AVERAGE(J7:J388),2))</f>
        <v>0</v>
      </c>
      <c r="K1" s="11">
        <f ca="1">IF(K7="",0,IF(_xlfn.ISFORMULA(K7),IF(MID(_xlfn.FORMULATEXT(K7),3,1)="e",IF(FIND("$3",_xlfn.FORMULATEXT(K7))&lt;&gt;0,IF(FIND("$4",_xlfn.FORMULATEXT(K7))&lt;&gt;0,IF(ROUND(AVERAGE(K7:K388),0)+117=1000,ROUND(AVERAGE(K7:K388),0),ROUND(MIN(K7:K388),0)),ROUND(MAX(K7:K388),0)),ROUND(MIN(K7:K388),0)-10),1125),39))</f>
        <v>0</v>
      </c>
      <c r="L1" s="11"/>
    </row>
    <row r="2" spans="1:14" ht="15.75" thickBot="1" x14ac:dyDescent="0.3">
      <c r="A2" s="1"/>
      <c r="H2" s="50"/>
    </row>
    <row r="3" spans="1:14" x14ac:dyDescent="0.25">
      <c r="D3" s="37" t="s">
        <v>117</v>
      </c>
      <c r="E3" s="38">
        <v>4.7118950000000002</v>
      </c>
      <c r="F3" s="54"/>
      <c r="G3" s="31"/>
      <c r="H3" s="50"/>
      <c r="I3" s="37" t="s">
        <v>123</v>
      </c>
      <c r="J3" s="51">
        <v>75</v>
      </c>
      <c r="K3" s="32"/>
      <c r="L3" s="50"/>
    </row>
    <row r="4" spans="1:14" ht="15.75" thickBot="1" x14ac:dyDescent="0.3">
      <c r="D4" s="39" t="s">
        <v>94</v>
      </c>
      <c r="E4" s="40">
        <v>4.0825609900000002</v>
      </c>
      <c r="G4" s="31"/>
      <c r="I4" s="39" t="s">
        <v>125</v>
      </c>
      <c r="J4" s="44">
        <v>150</v>
      </c>
      <c r="K4" s="32"/>
      <c r="N4" s="7"/>
    </row>
    <row r="6" spans="1:14" ht="45" x14ac:dyDescent="0.25">
      <c r="A6" s="47" t="s">
        <v>0</v>
      </c>
      <c r="B6" s="47" t="s">
        <v>1</v>
      </c>
      <c r="C6" s="48" t="s">
        <v>116</v>
      </c>
      <c r="D6" s="49" t="s">
        <v>93</v>
      </c>
      <c r="E6" s="49" t="s">
        <v>110</v>
      </c>
      <c r="F6" s="47" t="s">
        <v>121</v>
      </c>
      <c r="G6" s="47" t="s">
        <v>119</v>
      </c>
      <c r="H6" s="47" t="s">
        <v>120</v>
      </c>
      <c r="I6" s="47" t="s">
        <v>122</v>
      </c>
      <c r="J6" s="47" t="s">
        <v>114</v>
      </c>
      <c r="K6" s="47" t="s">
        <v>124</v>
      </c>
    </row>
    <row r="7" spans="1:14" x14ac:dyDescent="0.25">
      <c r="A7" t="s">
        <v>42</v>
      </c>
      <c r="B7" t="s">
        <v>43</v>
      </c>
      <c r="C7" s="52">
        <v>631</v>
      </c>
      <c r="D7" s="15">
        <v>685.84400988948846</v>
      </c>
      <c r="E7" s="30"/>
      <c r="F7" s="18"/>
      <c r="G7">
        <v>1</v>
      </c>
      <c r="H7" s="53"/>
      <c r="I7" s="5"/>
      <c r="J7" s="16"/>
      <c r="K7" s="5"/>
      <c r="L7" s="4"/>
      <c r="M7" s="8"/>
      <c r="N7" s="6"/>
    </row>
    <row r="8" spans="1:14" x14ac:dyDescent="0.25">
      <c r="A8" t="s">
        <v>79</v>
      </c>
      <c r="B8" t="s">
        <v>47</v>
      </c>
      <c r="C8" s="52">
        <v>924</v>
      </c>
      <c r="D8" s="15">
        <v>1004.2715859096081</v>
      </c>
      <c r="E8" s="30"/>
      <c r="F8" s="18" t="s">
        <v>118</v>
      </c>
      <c r="G8">
        <v>5</v>
      </c>
      <c r="H8" s="53"/>
      <c r="I8" s="5"/>
      <c r="J8" s="16"/>
      <c r="K8" s="5"/>
      <c r="M8" s="9"/>
    </row>
    <row r="9" spans="1:14" x14ac:dyDescent="0.25">
      <c r="A9" t="s">
        <v>40</v>
      </c>
      <c r="B9" t="s">
        <v>41</v>
      </c>
      <c r="C9" s="52">
        <v>2017</v>
      </c>
      <c r="D9" s="15">
        <v>2192.2513887539008</v>
      </c>
      <c r="E9" s="30"/>
      <c r="F9" s="18" t="s">
        <v>118</v>
      </c>
      <c r="G9">
        <v>2</v>
      </c>
      <c r="H9" s="53"/>
      <c r="I9" s="5"/>
      <c r="J9" s="16"/>
      <c r="K9" s="5"/>
    </row>
    <row r="10" spans="1:14" x14ac:dyDescent="0.25">
      <c r="A10" t="s">
        <v>81</v>
      </c>
      <c r="B10" t="s">
        <v>23</v>
      </c>
      <c r="C10" s="52">
        <v>654</v>
      </c>
      <c r="D10" s="15">
        <v>710.33843881411303</v>
      </c>
      <c r="E10" s="30"/>
      <c r="F10" s="18" t="s">
        <v>118</v>
      </c>
      <c r="G10">
        <v>5</v>
      </c>
      <c r="H10" s="53"/>
      <c r="I10" s="5"/>
      <c r="J10" s="16"/>
      <c r="K10" s="5"/>
    </row>
    <row r="11" spans="1:14" x14ac:dyDescent="0.25">
      <c r="A11" t="s">
        <v>22</v>
      </c>
      <c r="B11" t="s">
        <v>23</v>
      </c>
      <c r="C11" s="52">
        <v>1398</v>
      </c>
      <c r="D11" s="15">
        <v>1518.6545933267246</v>
      </c>
      <c r="E11" s="30"/>
      <c r="F11" s="18"/>
      <c r="G11">
        <v>3</v>
      </c>
      <c r="H11" s="53"/>
      <c r="I11" s="5"/>
      <c r="J11" s="16"/>
      <c r="K11" s="5"/>
    </row>
    <row r="12" spans="1:14" x14ac:dyDescent="0.25">
      <c r="A12" t="s">
        <v>64</v>
      </c>
      <c r="B12" t="s">
        <v>65</v>
      </c>
      <c r="C12" s="52">
        <v>1014</v>
      </c>
      <c r="D12" s="15">
        <v>1102.2493016081064</v>
      </c>
      <c r="E12" s="30"/>
      <c r="F12" s="18"/>
      <c r="G12">
        <v>5</v>
      </c>
      <c r="H12" s="53"/>
      <c r="I12" s="5"/>
      <c r="J12" s="16"/>
      <c r="K12" s="5"/>
    </row>
    <row r="13" spans="1:14" x14ac:dyDescent="0.25">
      <c r="A13" t="s">
        <v>8</v>
      </c>
      <c r="B13" t="s">
        <v>9</v>
      </c>
      <c r="C13" s="52">
        <v>969</v>
      </c>
      <c r="D13" s="15">
        <v>1053.2604437588573</v>
      </c>
      <c r="E13" s="30"/>
      <c r="F13" s="18"/>
      <c r="G13">
        <v>4</v>
      </c>
      <c r="H13" s="53"/>
      <c r="I13" s="5"/>
      <c r="J13" s="16"/>
      <c r="K13" s="5"/>
    </row>
    <row r="14" spans="1:14" x14ac:dyDescent="0.25">
      <c r="A14" t="s">
        <v>16</v>
      </c>
      <c r="B14" t="s">
        <v>17</v>
      </c>
      <c r="C14" s="52">
        <v>924</v>
      </c>
      <c r="D14" s="15">
        <v>1004.2715859096081</v>
      </c>
      <c r="E14" s="30"/>
      <c r="F14" s="18" t="s">
        <v>118</v>
      </c>
      <c r="G14">
        <v>1</v>
      </c>
      <c r="H14" s="53"/>
      <c r="I14" s="5"/>
      <c r="J14" s="16"/>
      <c r="K14" s="5"/>
    </row>
    <row r="15" spans="1:14" x14ac:dyDescent="0.25">
      <c r="A15" t="s">
        <v>81</v>
      </c>
      <c r="B15" t="s">
        <v>23</v>
      </c>
      <c r="C15" s="52">
        <v>5252</v>
      </c>
      <c r="D15" s="15">
        <v>5707.2019394375293</v>
      </c>
      <c r="E15" s="30"/>
      <c r="F15" s="18"/>
      <c r="G15">
        <v>2</v>
      </c>
      <c r="H15" s="53"/>
      <c r="I15" s="5"/>
      <c r="J15" s="16"/>
      <c r="K15" s="5"/>
    </row>
    <row r="16" spans="1:14" x14ac:dyDescent="0.25">
      <c r="A16" t="s">
        <v>4</v>
      </c>
      <c r="B16" t="s">
        <v>5</v>
      </c>
      <c r="C16" s="52">
        <v>1014</v>
      </c>
      <c r="D16" s="15">
        <v>1102.2493016081064</v>
      </c>
      <c r="E16" s="30"/>
      <c r="F16" s="18"/>
      <c r="G16">
        <v>2</v>
      </c>
      <c r="H16" s="53"/>
      <c r="I16" s="5"/>
      <c r="J16" s="16"/>
      <c r="K16" s="5"/>
    </row>
    <row r="17" spans="1:11" x14ac:dyDescent="0.25">
      <c r="A17" t="s">
        <v>12</v>
      </c>
      <c r="B17" t="s">
        <v>30</v>
      </c>
      <c r="C17" s="52">
        <v>969</v>
      </c>
      <c r="D17" s="15">
        <v>1053.2604437588573</v>
      </c>
      <c r="E17" s="30"/>
      <c r="F17" s="18"/>
      <c r="G17">
        <v>4</v>
      </c>
      <c r="H17" s="53"/>
      <c r="I17" s="5"/>
      <c r="J17" s="16"/>
      <c r="K17" s="5"/>
    </row>
    <row r="18" spans="1:11" x14ac:dyDescent="0.25">
      <c r="A18" t="s">
        <v>12</v>
      </c>
      <c r="B18" t="s">
        <v>24</v>
      </c>
      <c r="C18" s="52">
        <v>924</v>
      </c>
      <c r="D18" s="15">
        <v>1004.2715859096081</v>
      </c>
      <c r="E18" s="30"/>
      <c r="F18" s="18" t="s">
        <v>118</v>
      </c>
      <c r="G18">
        <v>1</v>
      </c>
      <c r="H18" s="53"/>
      <c r="I18" s="5"/>
      <c r="J18" s="16"/>
      <c r="K18" s="5"/>
    </row>
    <row r="19" spans="1:11" x14ac:dyDescent="0.25">
      <c r="A19" t="s">
        <v>35</v>
      </c>
      <c r="B19" t="s">
        <v>36</v>
      </c>
      <c r="C19" s="52">
        <v>969</v>
      </c>
      <c r="D19" s="15">
        <v>1053.2604437588573</v>
      </c>
      <c r="E19" s="30"/>
      <c r="F19" s="18" t="s">
        <v>118</v>
      </c>
      <c r="G19">
        <v>4</v>
      </c>
      <c r="H19" s="53"/>
      <c r="I19" s="5"/>
      <c r="J19" s="16"/>
      <c r="K19" s="5"/>
    </row>
    <row r="20" spans="1:11" x14ac:dyDescent="0.25">
      <c r="A20" t="s">
        <v>69</v>
      </c>
      <c r="B20" t="s">
        <v>70</v>
      </c>
      <c r="C20" s="52">
        <v>3043</v>
      </c>
      <c r="D20" s="15">
        <v>3306.7479048243194</v>
      </c>
      <c r="E20" s="30"/>
      <c r="F20" s="18" t="s">
        <v>118</v>
      </c>
      <c r="G20">
        <v>2</v>
      </c>
      <c r="H20" s="53"/>
      <c r="I20" s="5"/>
      <c r="J20" s="16"/>
      <c r="K20" s="5"/>
    </row>
    <row r="21" spans="1:11" x14ac:dyDescent="0.25">
      <c r="A21" t="s">
        <v>16</v>
      </c>
      <c r="B21" t="s">
        <v>17</v>
      </c>
      <c r="C21" s="52">
        <v>631</v>
      </c>
      <c r="D21" s="15">
        <v>685.84400988948846</v>
      </c>
      <c r="E21" s="30"/>
      <c r="F21" s="18" t="s">
        <v>118</v>
      </c>
      <c r="G21">
        <v>1</v>
      </c>
      <c r="H21" s="53"/>
      <c r="I21" s="5"/>
      <c r="J21" s="16"/>
      <c r="K21" s="5"/>
    </row>
    <row r="22" spans="1:11" x14ac:dyDescent="0.25">
      <c r="A22" t="s">
        <v>82</v>
      </c>
      <c r="B22" t="s">
        <v>83</v>
      </c>
      <c r="C22" s="52">
        <v>1014</v>
      </c>
      <c r="D22" s="15">
        <v>1102.2493016081064</v>
      </c>
      <c r="E22" s="30"/>
      <c r="F22" s="18" t="s">
        <v>118</v>
      </c>
      <c r="G22">
        <v>3</v>
      </c>
      <c r="H22" s="53"/>
      <c r="I22" s="5"/>
      <c r="J22" s="16"/>
      <c r="K22" s="5"/>
    </row>
    <row r="23" spans="1:11" x14ac:dyDescent="0.25">
      <c r="A23" t="s">
        <v>8</v>
      </c>
      <c r="B23" t="s">
        <v>9</v>
      </c>
      <c r="C23" s="52">
        <v>857</v>
      </c>
      <c r="D23" s="15">
        <v>930.78829913573441</v>
      </c>
      <c r="E23" s="30"/>
      <c r="F23" s="18"/>
      <c r="G23">
        <v>5</v>
      </c>
      <c r="H23" s="53"/>
      <c r="I23" s="5"/>
      <c r="J23" s="16"/>
      <c r="K23" s="5"/>
    </row>
    <row r="24" spans="1:11" x14ac:dyDescent="0.25">
      <c r="A24" t="s">
        <v>35</v>
      </c>
      <c r="B24" t="s">
        <v>36</v>
      </c>
      <c r="C24" s="52">
        <v>766</v>
      </c>
      <c r="D24" s="15">
        <v>832.81058343723601</v>
      </c>
      <c r="E24" s="30"/>
      <c r="F24" s="18" t="s">
        <v>118</v>
      </c>
      <c r="G24">
        <v>5</v>
      </c>
      <c r="H24" s="53"/>
      <c r="I24" s="5"/>
      <c r="J24" s="16"/>
      <c r="K24" s="5"/>
    </row>
    <row r="25" spans="1:11" x14ac:dyDescent="0.25">
      <c r="A25" t="s">
        <v>20</v>
      </c>
      <c r="B25" t="s">
        <v>21</v>
      </c>
      <c r="C25" s="52">
        <v>654</v>
      </c>
      <c r="D25" s="15">
        <v>710.33843881411303</v>
      </c>
      <c r="E25" s="30"/>
      <c r="F25" s="18"/>
      <c r="G25">
        <v>5</v>
      </c>
      <c r="H25" s="53"/>
      <c r="I25" s="5"/>
      <c r="J25" s="16"/>
      <c r="K25" s="5"/>
    </row>
    <row r="26" spans="1:11" x14ac:dyDescent="0.25">
      <c r="A26" t="s">
        <v>67</v>
      </c>
      <c r="B26" t="s">
        <v>68</v>
      </c>
      <c r="C26" s="52">
        <v>924</v>
      </c>
      <c r="D26" s="15">
        <v>1004.2715859096081</v>
      </c>
      <c r="E26" s="30"/>
      <c r="F26" s="18" t="s">
        <v>118</v>
      </c>
      <c r="G26">
        <v>2</v>
      </c>
      <c r="H26" s="53"/>
      <c r="I26" s="5"/>
      <c r="J26" s="16"/>
      <c r="K26" s="5"/>
    </row>
    <row r="27" spans="1:11" x14ac:dyDescent="0.25">
      <c r="A27" t="s">
        <v>42</v>
      </c>
      <c r="B27" t="s">
        <v>43</v>
      </c>
      <c r="C27" s="52">
        <v>631</v>
      </c>
      <c r="D27" s="15">
        <v>685.84400988948846</v>
      </c>
      <c r="E27" s="30"/>
      <c r="F27" s="18"/>
      <c r="G27">
        <v>5</v>
      </c>
      <c r="H27" s="53"/>
      <c r="I27" s="5"/>
      <c r="J27" s="16"/>
      <c r="K27" s="5"/>
    </row>
    <row r="28" spans="1:11" x14ac:dyDescent="0.25">
      <c r="A28" t="s">
        <v>18</v>
      </c>
      <c r="B28" t="s">
        <v>19</v>
      </c>
      <c r="C28" s="52">
        <v>924</v>
      </c>
      <c r="D28" s="15">
        <v>1004.2715859096081</v>
      </c>
      <c r="E28" s="30"/>
      <c r="F28" s="18"/>
      <c r="G28">
        <v>1</v>
      </c>
      <c r="H28" s="53"/>
      <c r="I28" s="5"/>
      <c r="J28" s="16"/>
      <c r="K28" s="5"/>
    </row>
    <row r="29" spans="1:11" x14ac:dyDescent="0.25">
      <c r="A29" t="s">
        <v>10</v>
      </c>
      <c r="B29" t="s">
        <v>11</v>
      </c>
      <c r="C29" s="52">
        <v>654</v>
      </c>
      <c r="D29" s="15">
        <v>710.33843881411303</v>
      </c>
      <c r="E29" s="30"/>
      <c r="F29" s="18" t="s">
        <v>118</v>
      </c>
      <c r="G29">
        <v>1</v>
      </c>
      <c r="H29" s="53"/>
      <c r="I29" s="5"/>
      <c r="J29" s="16"/>
      <c r="K29" s="5"/>
    </row>
    <row r="30" spans="1:11" x14ac:dyDescent="0.25">
      <c r="A30" t="s">
        <v>60</v>
      </c>
      <c r="B30" t="s">
        <v>61</v>
      </c>
      <c r="C30" s="52">
        <v>631</v>
      </c>
      <c r="D30" s="15">
        <v>685.84400988948846</v>
      </c>
      <c r="E30" s="30"/>
      <c r="F30" s="18" t="s">
        <v>118</v>
      </c>
      <c r="G30">
        <v>2</v>
      </c>
      <c r="H30" s="53"/>
      <c r="I30" s="5"/>
      <c r="J30" s="16"/>
      <c r="K30" s="5"/>
    </row>
    <row r="31" spans="1:11" x14ac:dyDescent="0.25">
      <c r="A31" t="s">
        <v>12</v>
      </c>
      <c r="B31" t="s">
        <v>86</v>
      </c>
      <c r="C31" s="52">
        <v>654</v>
      </c>
      <c r="D31" s="15">
        <v>710.33843881411303</v>
      </c>
      <c r="E31" s="30"/>
      <c r="F31" s="18"/>
      <c r="G31">
        <v>3</v>
      </c>
      <c r="H31" s="53"/>
      <c r="I31" s="5"/>
      <c r="J31" s="16"/>
      <c r="K31" s="5"/>
    </row>
    <row r="32" spans="1:11" x14ac:dyDescent="0.25">
      <c r="A32" t="s">
        <v>56</v>
      </c>
      <c r="B32" t="s">
        <v>57</v>
      </c>
      <c r="C32" s="52">
        <v>1736</v>
      </c>
      <c r="D32" s="15">
        <v>1886.0710271960934</v>
      </c>
      <c r="E32" s="30"/>
      <c r="F32" s="18"/>
      <c r="G32">
        <v>4</v>
      </c>
      <c r="H32" s="53"/>
      <c r="I32" s="5"/>
      <c r="J32" s="16"/>
      <c r="K32" s="5"/>
    </row>
    <row r="33" spans="1:11" x14ac:dyDescent="0.25">
      <c r="A33" t="s">
        <v>44</v>
      </c>
      <c r="B33" t="s">
        <v>45</v>
      </c>
      <c r="C33" s="52">
        <v>1014</v>
      </c>
      <c r="D33" s="15">
        <v>1102.2493016081064</v>
      </c>
      <c r="E33" s="30"/>
      <c r="F33" s="18" t="s">
        <v>118</v>
      </c>
      <c r="G33">
        <v>6</v>
      </c>
      <c r="H33" s="53"/>
      <c r="I33" s="5"/>
      <c r="J33" s="16"/>
      <c r="K33" s="5"/>
    </row>
    <row r="34" spans="1:11" x14ac:dyDescent="0.25">
      <c r="A34" t="s">
        <v>62</v>
      </c>
      <c r="B34" t="s">
        <v>63</v>
      </c>
      <c r="C34" s="52">
        <v>1037</v>
      </c>
      <c r="D34" s="15">
        <v>1126.743730532731</v>
      </c>
      <c r="E34" s="30"/>
      <c r="F34" s="18"/>
      <c r="G34">
        <v>4</v>
      </c>
      <c r="H34" s="53"/>
      <c r="I34" s="5"/>
      <c r="J34" s="16"/>
      <c r="K34" s="5"/>
    </row>
    <row r="35" spans="1:11" x14ac:dyDescent="0.25">
      <c r="A35" t="s">
        <v>27</v>
      </c>
      <c r="B35" t="s">
        <v>28</v>
      </c>
      <c r="C35" s="52">
        <v>2006</v>
      </c>
      <c r="D35" s="15">
        <v>2180.0041742915882</v>
      </c>
      <c r="E35" s="30"/>
      <c r="F35" s="18" t="s">
        <v>118</v>
      </c>
      <c r="G35">
        <v>4</v>
      </c>
      <c r="H35" s="53"/>
      <c r="I35" s="5"/>
      <c r="J35" s="16"/>
      <c r="K35" s="5"/>
    </row>
    <row r="36" spans="1:11" x14ac:dyDescent="0.25">
      <c r="A36" t="s">
        <v>73</v>
      </c>
      <c r="B36" t="s">
        <v>74</v>
      </c>
      <c r="C36" s="52">
        <v>654</v>
      </c>
      <c r="D36" s="15">
        <v>710.33843881411303</v>
      </c>
      <c r="E36" s="30"/>
      <c r="F36" s="18"/>
      <c r="G36">
        <v>5</v>
      </c>
      <c r="H36" s="53"/>
      <c r="I36" s="5"/>
      <c r="J36" s="16"/>
      <c r="K36" s="5"/>
    </row>
    <row r="37" spans="1:11" x14ac:dyDescent="0.25">
      <c r="A37" t="s">
        <v>18</v>
      </c>
      <c r="B37" t="s">
        <v>19</v>
      </c>
      <c r="C37" s="52">
        <v>924</v>
      </c>
      <c r="D37" s="15">
        <v>1004.2715859096081</v>
      </c>
      <c r="E37" s="30"/>
      <c r="F37" s="18"/>
      <c r="G37">
        <v>6</v>
      </c>
      <c r="H37" s="53"/>
      <c r="I37" s="5"/>
      <c r="J37" s="16"/>
      <c r="K37" s="5"/>
    </row>
    <row r="38" spans="1:11" x14ac:dyDescent="0.25">
      <c r="A38" t="s">
        <v>78</v>
      </c>
      <c r="B38" t="s">
        <v>63</v>
      </c>
      <c r="C38" s="52">
        <v>3291</v>
      </c>
      <c r="D38" s="15">
        <v>3576.1866229951897</v>
      </c>
      <c r="E38" s="30"/>
      <c r="F38" s="18"/>
      <c r="G38">
        <v>3</v>
      </c>
      <c r="H38" s="53"/>
      <c r="I38" s="5"/>
      <c r="J38" s="16"/>
      <c r="K38" s="5"/>
    </row>
    <row r="39" spans="1:11" x14ac:dyDescent="0.25">
      <c r="A39" t="s">
        <v>29</v>
      </c>
      <c r="B39" t="s">
        <v>30</v>
      </c>
      <c r="C39" s="52">
        <v>857</v>
      </c>
      <c r="D39" s="15">
        <v>930.78829913573441</v>
      </c>
      <c r="E39" s="30"/>
      <c r="F39" s="18" t="s">
        <v>118</v>
      </c>
      <c r="G39">
        <v>1</v>
      </c>
      <c r="H39" s="53"/>
      <c r="I39" s="5"/>
      <c r="J39" s="16"/>
      <c r="K39" s="5"/>
    </row>
    <row r="40" spans="1:11" x14ac:dyDescent="0.25">
      <c r="A40" t="s">
        <v>58</v>
      </c>
      <c r="B40" t="s">
        <v>59</v>
      </c>
      <c r="C40" s="52">
        <v>924</v>
      </c>
      <c r="D40" s="15">
        <v>1004.2715859096081</v>
      </c>
      <c r="E40" s="30"/>
      <c r="F40" s="18"/>
      <c r="G40">
        <v>3</v>
      </c>
      <c r="H40" s="53"/>
      <c r="I40" s="5"/>
      <c r="J40" s="16"/>
      <c r="K40" s="5"/>
    </row>
    <row r="41" spans="1:11" x14ac:dyDescent="0.25">
      <c r="A41" t="s">
        <v>29</v>
      </c>
      <c r="B41" t="s">
        <v>30</v>
      </c>
      <c r="C41" s="52">
        <v>857</v>
      </c>
      <c r="D41" s="15">
        <v>930.78829913573441</v>
      </c>
      <c r="E41" s="30"/>
      <c r="F41" s="18"/>
      <c r="G41">
        <v>4</v>
      </c>
      <c r="H41" s="53"/>
      <c r="I41" s="5"/>
      <c r="J41" s="16"/>
      <c r="K41" s="5"/>
    </row>
    <row r="42" spans="1:11" x14ac:dyDescent="0.25">
      <c r="A42" t="s">
        <v>62</v>
      </c>
      <c r="B42" t="s">
        <v>63</v>
      </c>
      <c r="C42" s="52">
        <v>3291</v>
      </c>
      <c r="D42" s="15">
        <v>3576.1866229951897</v>
      </c>
      <c r="E42" s="30"/>
      <c r="F42" s="18"/>
      <c r="G42">
        <v>1</v>
      </c>
      <c r="H42" s="53"/>
      <c r="I42" s="5"/>
      <c r="J42" s="16"/>
      <c r="K42" s="5"/>
    </row>
    <row r="43" spans="1:11" x14ac:dyDescent="0.25">
      <c r="A43" t="s">
        <v>29</v>
      </c>
      <c r="B43" t="s">
        <v>30</v>
      </c>
      <c r="C43" s="52">
        <v>924</v>
      </c>
      <c r="D43" s="15">
        <v>1004.2715859096081</v>
      </c>
      <c r="E43" s="30"/>
      <c r="F43" s="18" t="s">
        <v>118</v>
      </c>
      <c r="G43">
        <v>3</v>
      </c>
      <c r="H43" s="53"/>
      <c r="I43" s="5"/>
      <c r="J43" s="16"/>
      <c r="K43" s="5"/>
    </row>
    <row r="44" spans="1:11" x14ac:dyDescent="0.25">
      <c r="A44" t="s">
        <v>12</v>
      </c>
      <c r="B44" t="s">
        <v>24</v>
      </c>
      <c r="C44" s="52">
        <v>2705</v>
      </c>
      <c r="D44" s="15">
        <v>2939.3314709549504</v>
      </c>
      <c r="E44" s="30"/>
      <c r="F44" s="18"/>
      <c r="G44">
        <v>6</v>
      </c>
      <c r="H44" s="53"/>
      <c r="I44" s="5"/>
      <c r="J44" s="16"/>
      <c r="K44" s="5"/>
    </row>
    <row r="45" spans="1:11" x14ac:dyDescent="0.25">
      <c r="A45" t="s">
        <v>8</v>
      </c>
      <c r="B45" t="s">
        <v>9</v>
      </c>
      <c r="C45" s="52">
        <v>654</v>
      </c>
      <c r="D45" s="15">
        <v>710.33843881411303</v>
      </c>
      <c r="E45" s="30"/>
      <c r="F45" s="18" t="s">
        <v>118</v>
      </c>
      <c r="G45">
        <v>3</v>
      </c>
      <c r="H45" s="53"/>
      <c r="I45" s="5"/>
      <c r="J45" s="16"/>
      <c r="K45" s="5"/>
    </row>
    <row r="46" spans="1:11" x14ac:dyDescent="0.25">
      <c r="A46" t="s">
        <v>27</v>
      </c>
      <c r="B46" t="s">
        <v>28</v>
      </c>
      <c r="C46" s="52">
        <v>924</v>
      </c>
      <c r="D46" s="15">
        <v>1004.2715859096081</v>
      </c>
      <c r="E46" s="30"/>
      <c r="F46" s="18" t="s">
        <v>118</v>
      </c>
      <c r="G46">
        <v>3</v>
      </c>
      <c r="H46" s="53"/>
      <c r="I46" s="5"/>
      <c r="J46" s="16"/>
      <c r="K46" s="5"/>
    </row>
    <row r="47" spans="1:11" x14ac:dyDescent="0.25">
      <c r="A47" t="s">
        <v>52</v>
      </c>
      <c r="B47" t="s">
        <v>53</v>
      </c>
      <c r="C47" s="52">
        <v>654</v>
      </c>
      <c r="D47" s="15">
        <v>710.33843881411303</v>
      </c>
      <c r="E47" s="30"/>
      <c r="F47" s="18" t="s">
        <v>118</v>
      </c>
      <c r="G47">
        <v>6</v>
      </c>
      <c r="H47" s="53"/>
      <c r="I47" s="5"/>
      <c r="J47" s="16"/>
      <c r="K47" s="5"/>
    </row>
    <row r="48" spans="1:11" x14ac:dyDescent="0.25">
      <c r="A48" t="s">
        <v>18</v>
      </c>
      <c r="B48" t="s">
        <v>19</v>
      </c>
      <c r="C48" s="52">
        <v>654</v>
      </c>
      <c r="D48" s="15">
        <v>710.33843881411303</v>
      </c>
      <c r="E48" s="30"/>
      <c r="F48" s="18" t="s">
        <v>118</v>
      </c>
      <c r="G48">
        <v>6</v>
      </c>
      <c r="H48" s="53"/>
      <c r="I48" s="5"/>
      <c r="J48" s="16"/>
      <c r="K48" s="5"/>
    </row>
    <row r="49" spans="1:11" x14ac:dyDescent="0.25">
      <c r="A49" t="s">
        <v>29</v>
      </c>
      <c r="B49" t="s">
        <v>30</v>
      </c>
      <c r="C49" s="52">
        <v>766</v>
      </c>
      <c r="D49" s="15">
        <v>832.81058343723601</v>
      </c>
      <c r="E49" s="30"/>
      <c r="F49" s="18" t="s">
        <v>118</v>
      </c>
      <c r="G49">
        <v>3</v>
      </c>
      <c r="H49" s="53"/>
      <c r="I49" s="5"/>
      <c r="J49" s="16"/>
      <c r="K49" s="5"/>
    </row>
    <row r="50" spans="1:11" x14ac:dyDescent="0.25">
      <c r="A50" t="s">
        <v>2</v>
      </c>
      <c r="B50" t="s">
        <v>3</v>
      </c>
      <c r="C50" s="52">
        <v>1037</v>
      </c>
      <c r="D50" s="15">
        <v>1126.743730532731</v>
      </c>
      <c r="E50" s="30"/>
      <c r="F50" s="18" t="s">
        <v>118</v>
      </c>
      <c r="G50">
        <v>3</v>
      </c>
      <c r="H50" s="53"/>
      <c r="I50" s="5"/>
      <c r="J50" s="16"/>
      <c r="K50" s="5"/>
    </row>
    <row r="51" spans="1:11" x14ac:dyDescent="0.25">
      <c r="A51" t="s">
        <v>52</v>
      </c>
      <c r="B51" t="s">
        <v>53</v>
      </c>
      <c r="C51" s="52">
        <v>947</v>
      </c>
      <c r="D51" s="15">
        <v>1028.7660148342327</v>
      </c>
      <c r="E51" s="30"/>
      <c r="F51" s="18" t="s">
        <v>118</v>
      </c>
      <c r="G51">
        <v>1</v>
      </c>
      <c r="H51" s="53"/>
      <c r="I51" s="5"/>
      <c r="J51" s="16"/>
      <c r="K51" s="5"/>
    </row>
    <row r="52" spans="1:11" x14ac:dyDescent="0.25">
      <c r="A52" t="s">
        <v>84</v>
      </c>
      <c r="B52" t="s">
        <v>85</v>
      </c>
      <c r="C52" s="52">
        <v>1037</v>
      </c>
      <c r="D52" s="15">
        <v>1126.743730532731</v>
      </c>
      <c r="E52" s="30"/>
      <c r="F52" s="18"/>
      <c r="G52">
        <v>2</v>
      </c>
      <c r="H52" s="53"/>
      <c r="I52" s="5"/>
      <c r="J52" s="16"/>
      <c r="K52" s="5"/>
    </row>
    <row r="53" spans="1:11" x14ac:dyDescent="0.25">
      <c r="A53" t="s">
        <v>12</v>
      </c>
      <c r="B53" t="s">
        <v>24</v>
      </c>
      <c r="C53" s="52">
        <v>2750</v>
      </c>
      <c r="D53" s="15">
        <v>2988.3203288042</v>
      </c>
      <c r="E53" s="30"/>
      <c r="F53" s="18" t="s">
        <v>118</v>
      </c>
      <c r="G53">
        <v>2</v>
      </c>
      <c r="H53" s="53"/>
      <c r="I53" s="5"/>
      <c r="J53" s="16"/>
      <c r="K53" s="5"/>
    </row>
    <row r="54" spans="1:11" x14ac:dyDescent="0.25">
      <c r="A54" t="s">
        <v>58</v>
      </c>
      <c r="B54" t="s">
        <v>59</v>
      </c>
      <c r="C54" s="52">
        <v>654</v>
      </c>
      <c r="D54" s="15">
        <v>710.33843881411303</v>
      </c>
      <c r="E54" s="30"/>
      <c r="F54" s="18" t="s">
        <v>118</v>
      </c>
      <c r="G54">
        <v>3</v>
      </c>
      <c r="H54" s="53"/>
      <c r="I54" s="5"/>
      <c r="J54" s="16"/>
      <c r="K54" s="5"/>
    </row>
    <row r="55" spans="1:11" x14ac:dyDescent="0.25">
      <c r="A55" t="s">
        <v>12</v>
      </c>
      <c r="B55" t="s">
        <v>30</v>
      </c>
      <c r="C55" s="52">
        <v>924</v>
      </c>
      <c r="D55" s="15">
        <v>1004.2715859096081</v>
      </c>
      <c r="E55" s="30"/>
      <c r="F55" s="18" t="s">
        <v>118</v>
      </c>
      <c r="G55">
        <v>4</v>
      </c>
      <c r="H55" s="53"/>
      <c r="I55" s="5"/>
      <c r="J55" s="16"/>
      <c r="K55" s="5"/>
    </row>
    <row r="56" spans="1:11" x14ac:dyDescent="0.25">
      <c r="A56" t="s">
        <v>80</v>
      </c>
      <c r="B56" t="s">
        <v>57</v>
      </c>
      <c r="C56" s="52">
        <v>3043</v>
      </c>
      <c r="D56" s="15">
        <v>3306.7479048243194</v>
      </c>
      <c r="E56" s="30"/>
      <c r="F56" s="18" t="s">
        <v>118</v>
      </c>
      <c r="G56">
        <v>3</v>
      </c>
      <c r="H56" s="53"/>
      <c r="I56" s="5"/>
      <c r="J56" s="16"/>
      <c r="K56" s="5"/>
    </row>
    <row r="57" spans="1:11" x14ac:dyDescent="0.25">
      <c r="A57" t="s">
        <v>76</v>
      </c>
      <c r="B57" t="s">
        <v>77</v>
      </c>
      <c r="C57" s="52">
        <v>969</v>
      </c>
      <c r="D57" s="15">
        <v>1053.2604437588573</v>
      </c>
      <c r="E57" s="30"/>
      <c r="F57" s="18"/>
      <c r="G57">
        <v>6</v>
      </c>
      <c r="H57" s="53"/>
      <c r="I57" s="5"/>
      <c r="J57" s="16"/>
      <c r="K57" s="5"/>
    </row>
    <row r="58" spans="1:11" x14ac:dyDescent="0.25">
      <c r="A58" t="s">
        <v>76</v>
      </c>
      <c r="B58" t="s">
        <v>77</v>
      </c>
      <c r="C58" s="52">
        <v>857</v>
      </c>
      <c r="D58" s="15">
        <v>930.78829913573441</v>
      </c>
      <c r="E58" s="30"/>
      <c r="F58" s="18" t="s">
        <v>118</v>
      </c>
      <c r="G58">
        <v>1</v>
      </c>
      <c r="H58" s="53"/>
      <c r="I58" s="5"/>
      <c r="J58" s="16"/>
      <c r="K58" s="5"/>
    </row>
    <row r="59" spans="1:11" x14ac:dyDescent="0.25">
      <c r="A59" t="s">
        <v>8</v>
      </c>
      <c r="B59" t="s">
        <v>9</v>
      </c>
      <c r="C59" s="52">
        <v>969</v>
      </c>
      <c r="D59" s="15">
        <v>1053.2604437588573</v>
      </c>
      <c r="E59" s="30"/>
      <c r="F59" s="18" t="s">
        <v>118</v>
      </c>
      <c r="G59">
        <v>1</v>
      </c>
      <c r="H59" s="53"/>
      <c r="I59" s="5"/>
      <c r="J59" s="16"/>
      <c r="K59" s="5"/>
    </row>
    <row r="60" spans="1:11" x14ac:dyDescent="0.25">
      <c r="A60" t="s">
        <v>4</v>
      </c>
      <c r="B60" t="s">
        <v>5</v>
      </c>
      <c r="C60" s="52">
        <v>857</v>
      </c>
      <c r="D60" s="15">
        <v>930.78829913573441</v>
      </c>
      <c r="E60" s="30"/>
      <c r="F60" s="18" t="s">
        <v>118</v>
      </c>
      <c r="G60">
        <v>6</v>
      </c>
      <c r="H60" s="53"/>
      <c r="I60" s="5"/>
      <c r="J60" s="16"/>
      <c r="K60" s="5"/>
    </row>
    <row r="61" spans="1:11" x14ac:dyDescent="0.25">
      <c r="A61" t="s">
        <v>79</v>
      </c>
      <c r="B61" t="s">
        <v>47</v>
      </c>
      <c r="C61" s="52">
        <v>1037</v>
      </c>
      <c r="D61" s="15">
        <v>1126.743730532731</v>
      </c>
      <c r="E61" s="30"/>
      <c r="F61" s="18"/>
      <c r="G61">
        <v>3</v>
      </c>
      <c r="H61" s="53"/>
      <c r="I61" s="5"/>
      <c r="J61" s="16"/>
      <c r="K61" s="5"/>
    </row>
    <row r="62" spans="1:11" x14ac:dyDescent="0.25">
      <c r="A62" t="s">
        <v>22</v>
      </c>
      <c r="B62" t="s">
        <v>23</v>
      </c>
      <c r="C62" s="52">
        <v>1127</v>
      </c>
      <c r="D62" s="15">
        <v>1224.7214462312295</v>
      </c>
      <c r="E62" s="30"/>
      <c r="F62" s="18" t="s">
        <v>118</v>
      </c>
      <c r="G62">
        <v>3</v>
      </c>
      <c r="H62" s="53"/>
      <c r="I62" s="5"/>
      <c r="J62" s="16"/>
      <c r="K62" s="5"/>
    </row>
    <row r="63" spans="1:11" x14ac:dyDescent="0.25">
      <c r="A63" t="s">
        <v>62</v>
      </c>
      <c r="B63" t="s">
        <v>63</v>
      </c>
      <c r="C63" s="52">
        <v>654</v>
      </c>
      <c r="D63" s="15">
        <v>710.33843881411303</v>
      </c>
      <c r="E63" s="30"/>
      <c r="F63" s="18" t="s">
        <v>118</v>
      </c>
      <c r="G63">
        <v>4</v>
      </c>
      <c r="H63" s="53"/>
      <c r="I63" s="5"/>
      <c r="J63" s="16"/>
      <c r="K63" s="5"/>
    </row>
    <row r="64" spans="1:11" x14ac:dyDescent="0.25">
      <c r="A64" t="s">
        <v>80</v>
      </c>
      <c r="B64" t="s">
        <v>57</v>
      </c>
      <c r="C64" s="52">
        <v>924</v>
      </c>
      <c r="D64" s="15">
        <v>1004.2715859096081</v>
      </c>
      <c r="E64" s="30"/>
      <c r="F64" s="18"/>
      <c r="G64">
        <v>5</v>
      </c>
      <c r="H64" s="53"/>
      <c r="I64" s="5"/>
      <c r="J64" s="16"/>
      <c r="K64" s="5"/>
    </row>
    <row r="65" spans="1:11" x14ac:dyDescent="0.25">
      <c r="A65" t="s">
        <v>33</v>
      </c>
      <c r="B65" t="s">
        <v>34</v>
      </c>
      <c r="C65" s="52">
        <v>969</v>
      </c>
      <c r="D65" s="15">
        <v>1053.2604437588573</v>
      </c>
      <c r="E65" s="30"/>
      <c r="F65" s="18"/>
      <c r="G65">
        <v>2</v>
      </c>
      <c r="H65" s="53"/>
      <c r="I65" s="5"/>
      <c r="J65" s="16"/>
      <c r="K65" s="5"/>
    </row>
    <row r="66" spans="1:11" x14ac:dyDescent="0.25">
      <c r="A66" t="s">
        <v>78</v>
      </c>
      <c r="B66" t="s">
        <v>63</v>
      </c>
      <c r="C66" s="52">
        <v>654</v>
      </c>
      <c r="D66" s="15">
        <v>710.33843881411303</v>
      </c>
      <c r="E66" s="30"/>
      <c r="F66" s="18"/>
      <c r="G66">
        <v>1</v>
      </c>
      <c r="H66" s="53"/>
      <c r="I66" s="5"/>
      <c r="J66" s="16"/>
      <c r="K66" s="5"/>
    </row>
    <row r="67" spans="1:11" x14ac:dyDescent="0.25">
      <c r="A67" t="s">
        <v>25</v>
      </c>
      <c r="B67" t="s">
        <v>24</v>
      </c>
      <c r="C67" s="52">
        <v>1037</v>
      </c>
      <c r="D67" s="15">
        <v>1126.743730532731</v>
      </c>
      <c r="E67" s="30"/>
      <c r="F67" s="18"/>
      <c r="G67">
        <v>4</v>
      </c>
      <c r="H67" s="53"/>
      <c r="I67" s="5"/>
      <c r="J67" s="16"/>
      <c r="K67" s="5"/>
    </row>
    <row r="68" spans="1:11" x14ac:dyDescent="0.25">
      <c r="A68" t="s">
        <v>73</v>
      </c>
      <c r="B68" t="s">
        <v>74</v>
      </c>
      <c r="C68" s="52">
        <v>1398</v>
      </c>
      <c r="D68" s="15">
        <v>1518.6545933267246</v>
      </c>
      <c r="E68" s="30"/>
      <c r="F68" s="18" t="s">
        <v>118</v>
      </c>
      <c r="G68">
        <v>2</v>
      </c>
      <c r="H68" s="53"/>
      <c r="I68" s="5"/>
      <c r="J68" s="16"/>
      <c r="K68" s="5"/>
    </row>
    <row r="69" spans="1:11" x14ac:dyDescent="0.25">
      <c r="A69" t="s">
        <v>79</v>
      </c>
      <c r="B69" t="s">
        <v>47</v>
      </c>
      <c r="C69" s="52">
        <v>2006</v>
      </c>
      <c r="D69" s="15">
        <v>2180.0041742915882</v>
      </c>
      <c r="E69" s="30"/>
      <c r="F69" s="18"/>
      <c r="G69">
        <v>4</v>
      </c>
      <c r="H69" s="53"/>
      <c r="I69" s="5"/>
      <c r="J69" s="16"/>
      <c r="K69" s="5"/>
    </row>
    <row r="70" spans="1:11" x14ac:dyDescent="0.25">
      <c r="A70" t="s">
        <v>33</v>
      </c>
      <c r="B70" t="s">
        <v>34</v>
      </c>
      <c r="C70" s="52">
        <v>857</v>
      </c>
      <c r="D70" s="15">
        <v>930.78829913573441</v>
      </c>
      <c r="E70" s="30"/>
      <c r="F70" s="18" t="s">
        <v>118</v>
      </c>
      <c r="G70">
        <v>3</v>
      </c>
      <c r="H70" s="53"/>
      <c r="I70" s="5"/>
      <c r="J70" s="16"/>
      <c r="K70" s="5"/>
    </row>
    <row r="71" spans="1:11" x14ac:dyDescent="0.25">
      <c r="A71" t="s">
        <v>6</v>
      </c>
      <c r="B71" t="s">
        <v>7</v>
      </c>
      <c r="C71" s="52">
        <v>857</v>
      </c>
      <c r="D71" s="15">
        <v>930.78829913573441</v>
      </c>
      <c r="E71" s="30"/>
      <c r="F71" s="18" t="s">
        <v>118</v>
      </c>
      <c r="G71">
        <v>1</v>
      </c>
      <c r="H71" s="53"/>
      <c r="I71" s="5"/>
      <c r="J71" s="16"/>
      <c r="K71" s="5"/>
    </row>
    <row r="72" spans="1:11" x14ac:dyDescent="0.25">
      <c r="A72" t="s">
        <v>66</v>
      </c>
      <c r="B72" t="s">
        <v>13</v>
      </c>
      <c r="C72" s="52">
        <v>924</v>
      </c>
      <c r="D72" s="15">
        <v>1004.2715859096081</v>
      </c>
      <c r="E72" s="30"/>
      <c r="F72" s="18"/>
      <c r="G72">
        <v>4</v>
      </c>
      <c r="H72" s="53"/>
      <c r="I72" s="5"/>
      <c r="J72" s="16"/>
      <c r="K72" s="5"/>
    </row>
    <row r="73" spans="1:11" x14ac:dyDescent="0.25">
      <c r="A73" t="s">
        <v>48</v>
      </c>
      <c r="B73" t="s">
        <v>49</v>
      </c>
      <c r="C73" s="52">
        <v>857</v>
      </c>
      <c r="D73" s="15">
        <v>930.78829913573441</v>
      </c>
      <c r="E73" s="30"/>
      <c r="F73" s="18" t="s">
        <v>118</v>
      </c>
      <c r="G73">
        <v>1</v>
      </c>
      <c r="H73" s="53"/>
      <c r="I73" s="5"/>
      <c r="J73" s="16"/>
      <c r="K73" s="5"/>
    </row>
    <row r="74" spans="1:11" x14ac:dyDescent="0.25">
      <c r="A74" t="s">
        <v>10</v>
      </c>
      <c r="B74" t="s">
        <v>11</v>
      </c>
      <c r="C74" s="52">
        <v>2750</v>
      </c>
      <c r="D74" s="15">
        <v>2988.3203288042</v>
      </c>
      <c r="E74" s="30"/>
      <c r="F74" s="18"/>
      <c r="G74">
        <v>6</v>
      </c>
      <c r="H74" s="53"/>
      <c r="I74" s="5"/>
      <c r="J74" s="16"/>
      <c r="K74" s="5"/>
    </row>
    <row r="75" spans="1:11" x14ac:dyDescent="0.25">
      <c r="A75" t="s">
        <v>67</v>
      </c>
      <c r="B75" t="s">
        <v>68</v>
      </c>
      <c r="C75" s="52">
        <v>654</v>
      </c>
      <c r="D75" s="15">
        <v>710.33843881411303</v>
      </c>
      <c r="E75" s="30"/>
      <c r="F75" s="18" t="s">
        <v>118</v>
      </c>
      <c r="G75">
        <v>2</v>
      </c>
      <c r="H75" s="53"/>
      <c r="I75" s="5"/>
      <c r="J75" s="16"/>
      <c r="K75" s="5"/>
    </row>
    <row r="76" spans="1:11" x14ac:dyDescent="0.25">
      <c r="A76" t="s">
        <v>37</v>
      </c>
      <c r="B76" t="s">
        <v>38</v>
      </c>
      <c r="C76" s="52">
        <v>2930</v>
      </c>
      <c r="D76" s="15">
        <v>3184.2757602011966</v>
      </c>
      <c r="E76" s="30"/>
      <c r="F76" s="18" t="s">
        <v>118</v>
      </c>
      <c r="G76">
        <v>4</v>
      </c>
      <c r="H76" s="53"/>
      <c r="I76" s="5"/>
      <c r="J76" s="16"/>
      <c r="K76" s="5"/>
    </row>
    <row r="77" spans="1:11" x14ac:dyDescent="0.25">
      <c r="A77" t="s">
        <v>44</v>
      </c>
      <c r="B77" t="s">
        <v>45</v>
      </c>
      <c r="C77" s="52">
        <v>1014</v>
      </c>
      <c r="D77" s="15">
        <v>1102.2493016081064</v>
      </c>
      <c r="E77" s="30"/>
      <c r="F77" s="18" t="s">
        <v>118</v>
      </c>
      <c r="G77">
        <v>5</v>
      </c>
      <c r="H77" s="53"/>
      <c r="I77" s="5"/>
      <c r="J77" s="16"/>
      <c r="K77" s="5"/>
    </row>
    <row r="78" spans="1:11" x14ac:dyDescent="0.25">
      <c r="A78" t="s">
        <v>69</v>
      </c>
      <c r="B78" t="s">
        <v>70</v>
      </c>
      <c r="C78" s="52">
        <v>654</v>
      </c>
      <c r="D78" s="15">
        <v>710.33843881411303</v>
      </c>
      <c r="E78" s="30"/>
      <c r="F78" s="18" t="s">
        <v>118</v>
      </c>
      <c r="G78">
        <v>5</v>
      </c>
      <c r="H78" s="53"/>
      <c r="I78" s="5"/>
      <c r="J78" s="16"/>
      <c r="K78" s="5"/>
    </row>
    <row r="79" spans="1:11" x14ac:dyDescent="0.25">
      <c r="A79" t="s">
        <v>81</v>
      </c>
      <c r="B79" t="s">
        <v>23</v>
      </c>
      <c r="C79" s="52">
        <v>2006</v>
      </c>
      <c r="D79" s="15">
        <v>2180.0041742915882</v>
      </c>
      <c r="E79" s="30"/>
      <c r="F79" s="18" t="s">
        <v>118</v>
      </c>
      <c r="G79">
        <v>2</v>
      </c>
      <c r="H79" s="53"/>
      <c r="I79" s="5"/>
      <c r="J79" s="16"/>
      <c r="K79" s="5"/>
    </row>
    <row r="80" spans="1:11" x14ac:dyDescent="0.25">
      <c r="A80" t="s">
        <v>6</v>
      </c>
      <c r="B80" t="s">
        <v>7</v>
      </c>
      <c r="C80" s="52">
        <v>1803</v>
      </c>
      <c r="D80" s="15">
        <v>1959.5543139699671</v>
      </c>
      <c r="E80" s="30"/>
      <c r="F80" s="18" t="s">
        <v>118</v>
      </c>
      <c r="G80">
        <v>5</v>
      </c>
      <c r="H80" s="53"/>
      <c r="I80" s="5"/>
      <c r="J80" s="16"/>
      <c r="K80" s="5"/>
    </row>
    <row r="81" spans="1:11" x14ac:dyDescent="0.25">
      <c r="A81" t="s">
        <v>62</v>
      </c>
      <c r="B81" t="s">
        <v>63</v>
      </c>
      <c r="C81" s="52">
        <v>1037</v>
      </c>
      <c r="D81" s="15">
        <v>1126.743730532731</v>
      </c>
      <c r="E81" s="30"/>
      <c r="F81" s="18" t="s">
        <v>118</v>
      </c>
      <c r="G81">
        <v>6</v>
      </c>
      <c r="H81" s="53"/>
      <c r="I81" s="5"/>
      <c r="J81" s="16"/>
      <c r="K81" s="5"/>
    </row>
    <row r="82" spans="1:11" x14ac:dyDescent="0.25">
      <c r="A82" t="s">
        <v>27</v>
      </c>
      <c r="B82" t="s">
        <v>28</v>
      </c>
      <c r="C82" s="52">
        <v>2006</v>
      </c>
      <c r="D82" s="15">
        <v>2180.0041742915882</v>
      </c>
      <c r="E82" s="30"/>
      <c r="F82" s="18" t="s">
        <v>118</v>
      </c>
      <c r="G82">
        <v>2</v>
      </c>
      <c r="H82" s="53"/>
      <c r="I82" s="5"/>
      <c r="J82" s="16"/>
      <c r="K82" s="5"/>
    </row>
    <row r="83" spans="1:11" x14ac:dyDescent="0.25">
      <c r="A83" t="s">
        <v>18</v>
      </c>
      <c r="B83" t="s">
        <v>19</v>
      </c>
      <c r="C83" s="52">
        <v>6312</v>
      </c>
      <c r="D83" s="15">
        <v>6858.4400988948846</v>
      </c>
      <c r="E83" s="30"/>
      <c r="F83" s="18" t="s">
        <v>118</v>
      </c>
      <c r="G83">
        <v>2</v>
      </c>
      <c r="H83" s="53"/>
      <c r="I83" s="5"/>
      <c r="J83" s="16"/>
      <c r="K83" s="5"/>
    </row>
    <row r="84" spans="1:11" x14ac:dyDescent="0.25">
      <c r="A84" t="s">
        <v>66</v>
      </c>
      <c r="B84" t="s">
        <v>13</v>
      </c>
      <c r="C84" s="52">
        <v>969</v>
      </c>
      <c r="D84" s="15">
        <v>1053.2604437588573</v>
      </c>
      <c r="E84" s="30"/>
      <c r="F84" s="18" t="s">
        <v>118</v>
      </c>
      <c r="G84">
        <v>4</v>
      </c>
      <c r="H84" s="53"/>
      <c r="I84" s="5"/>
      <c r="J84" s="16"/>
      <c r="K84" s="5"/>
    </row>
    <row r="85" spans="1:11" x14ac:dyDescent="0.25">
      <c r="A85" t="s">
        <v>18</v>
      </c>
      <c r="B85" t="s">
        <v>19</v>
      </c>
      <c r="C85" s="52">
        <v>766</v>
      </c>
      <c r="D85" s="15">
        <v>832.81058343723601</v>
      </c>
      <c r="E85" s="30"/>
      <c r="F85" s="18" t="s">
        <v>118</v>
      </c>
      <c r="G85">
        <v>2</v>
      </c>
      <c r="H85" s="53"/>
      <c r="I85" s="5"/>
      <c r="J85" s="16"/>
      <c r="K85" s="5"/>
    </row>
    <row r="86" spans="1:11" x14ac:dyDescent="0.25">
      <c r="A86" t="s">
        <v>4</v>
      </c>
      <c r="B86" t="s">
        <v>5</v>
      </c>
      <c r="C86" s="52">
        <v>1398</v>
      </c>
      <c r="D86" s="15">
        <v>1518.6545933267246</v>
      </c>
      <c r="E86" s="30"/>
      <c r="F86" s="18" t="s">
        <v>118</v>
      </c>
      <c r="G86">
        <v>5</v>
      </c>
      <c r="H86" s="53"/>
      <c r="I86" s="5"/>
      <c r="J86" s="16"/>
      <c r="K86" s="5"/>
    </row>
    <row r="87" spans="1:11" x14ac:dyDescent="0.25">
      <c r="A87" t="s">
        <v>73</v>
      </c>
      <c r="B87" t="s">
        <v>74</v>
      </c>
      <c r="C87" s="52">
        <v>947</v>
      </c>
      <c r="D87" s="15">
        <v>1028.7660148342327</v>
      </c>
      <c r="E87" s="30"/>
      <c r="F87" s="18" t="s">
        <v>118</v>
      </c>
      <c r="G87">
        <v>4</v>
      </c>
      <c r="H87" s="53"/>
      <c r="I87" s="5"/>
      <c r="J87" s="16"/>
      <c r="K87" s="5"/>
    </row>
    <row r="88" spans="1:11" x14ac:dyDescent="0.25">
      <c r="A88" t="s">
        <v>22</v>
      </c>
      <c r="B88" t="s">
        <v>23</v>
      </c>
      <c r="C88" s="52">
        <v>766</v>
      </c>
      <c r="D88" s="15">
        <v>832.81058343723601</v>
      </c>
      <c r="E88" s="30"/>
      <c r="F88" s="18"/>
      <c r="G88">
        <v>4</v>
      </c>
      <c r="H88" s="53"/>
      <c r="I88" s="5"/>
      <c r="J88" s="16"/>
      <c r="K88" s="5"/>
    </row>
    <row r="89" spans="1:11" x14ac:dyDescent="0.25">
      <c r="A89" t="s">
        <v>48</v>
      </c>
      <c r="B89" t="s">
        <v>49</v>
      </c>
      <c r="C89" s="52">
        <v>3471</v>
      </c>
      <c r="D89" s="15">
        <v>3772.1420543921868</v>
      </c>
      <c r="E89" s="30"/>
      <c r="F89" s="18"/>
      <c r="G89">
        <v>4</v>
      </c>
      <c r="H89" s="53"/>
      <c r="I89" s="5"/>
      <c r="J89" s="16"/>
      <c r="K89" s="5"/>
    </row>
    <row r="90" spans="1:11" x14ac:dyDescent="0.25">
      <c r="A90" t="s">
        <v>22</v>
      </c>
      <c r="B90" t="s">
        <v>23</v>
      </c>
      <c r="C90" s="52">
        <v>924</v>
      </c>
      <c r="D90" s="15">
        <v>1004.2715859096081</v>
      </c>
      <c r="E90" s="30"/>
      <c r="F90" s="18"/>
      <c r="G90">
        <v>2</v>
      </c>
      <c r="H90" s="53"/>
      <c r="I90" s="5"/>
      <c r="J90" s="16"/>
      <c r="K90" s="5"/>
    </row>
    <row r="91" spans="1:11" x14ac:dyDescent="0.25">
      <c r="A91" t="s">
        <v>82</v>
      </c>
      <c r="B91" t="s">
        <v>83</v>
      </c>
      <c r="C91" s="52">
        <v>4508</v>
      </c>
      <c r="D91" s="15">
        <v>4898.885784924918</v>
      </c>
      <c r="E91" s="30"/>
      <c r="F91" s="18"/>
      <c r="G91">
        <v>5</v>
      </c>
      <c r="H91" s="53"/>
      <c r="I91" s="5"/>
      <c r="J91" s="16"/>
      <c r="K91" s="5"/>
    </row>
    <row r="92" spans="1:11" x14ac:dyDescent="0.25">
      <c r="A92" t="s">
        <v>25</v>
      </c>
      <c r="B92" t="s">
        <v>24</v>
      </c>
      <c r="C92" s="52">
        <v>857</v>
      </c>
      <c r="D92" s="15">
        <v>930.78829913573441</v>
      </c>
      <c r="E92" s="30"/>
      <c r="F92" s="18" t="s">
        <v>118</v>
      </c>
      <c r="G92">
        <v>5</v>
      </c>
      <c r="H92" s="53"/>
      <c r="I92" s="5"/>
      <c r="J92" s="16"/>
      <c r="K92" s="5"/>
    </row>
    <row r="93" spans="1:11" x14ac:dyDescent="0.25">
      <c r="A93" t="s">
        <v>67</v>
      </c>
      <c r="B93" t="s">
        <v>68</v>
      </c>
      <c r="C93" s="52">
        <v>3043</v>
      </c>
      <c r="D93" s="15">
        <v>3306.7479048243194</v>
      </c>
      <c r="E93" s="30"/>
      <c r="F93" s="18" t="s">
        <v>118</v>
      </c>
      <c r="G93">
        <v>5</v>
      </c>
      <c r="H93" s="53"/>
      <c r="I93" s="5"/>
      <c r="J93" s="16"/>
      <c r="K93" s="5"/>
    </row>
    <row r="94" spans="1:11" x14ac:dyDescent="0.25">
      <c r="A94" t="s">
        <v>12</v>
      </c>
      <c r="B94" t="s">
        <v>24</v>
      </c>
      <c r="C94" s="52">
        <v>3043</v>
      </c>
      <c r="D94" s="15">
        <v>3306.7479048243194</v>
      </c>
      <c r="E94" s="30"/>
      <c r="F94" s="18"/>
      <c r="G94">
        <v>5</v>
      </c>
      <c r="H94" s="53"/>
      <c r="I94" s="5"/>
      <c r="J94" s="16"/>
      <c r="K94" s="5"/>
    </row>
    <row r="95" spans="1:11" x14ac:dyDescent="0.25">
      <c r="A95" t="s">
        <v>12</v>
      </c>
      <c r="B95" t="s">
        <v>86</v>
      </c>
      <c r="C95" s="52">
        <v>1014</v>
      </c>
      <c r="D95" s="15">
        <v>1102.2493016081064</v>
      </c>
      <c r="E95" s="30"/>
      <c r="F95" s="18" t="s">
        <v>118</v>
      </c>
      <c r="G95">
        <v>3</v>
      </c>
      <c r="H95" s="53"/>
      <c r="I95" s="5"/>
      <c r="J95" s="16"/>
      <c r="K95" s="5"/>
    </row>
    <row r="96" spans="1:11" x14ac:dyDescent="0.25">
      <c r="A96" t="s">
        <v>58</v>
      </c>
      <c r="B96" t="s">
        <v>59</v>
      </c>
      <c r="C96" s="52">
        <v>1127</v>
      </c>
      <c r="D96" s="15">
        <v>1224.7214462312295</v>
      </c>
      <c r="E96" s="30"/>
      <c r="F96" s="18" t="s">
        <v>118</v>
      </c>
      <c r="G96">
        <v>1</v>
      </c>
      <c r="H96" s="53"/>
      <c r="I96" s="5"/>
      <c r="J96" s="16"/>
      <c r="K96" s="5"/>
    </row>
    <row r="97" spans="1:11" x14ac:dyDescent="0.25">
      <c r="A97" t="s">
        <v>71</v>
      </c>
      <c r="B97" t="s">
        <v>72</v>
      </c>
      <c r="C97" s="52">
        <v>654</v>
      </c>
      <c r="D97" s="15">
        <v>710.33843881411303</v>
      </c>
      <c r="E97" s="30"/>
      <c r="F97" s="18"/>
      <c r="G97">
        <v>5</v>
      </c>
      <c r="H97" s="53"/>
      <c r="I97" s="5"/>
      <c r="J97" s="16"/>
      <c r="K97" s="5"/>
    </row>
    <row r="98" spans="1:11" x14ac:dyDescent="0.25">
      <c r="A98" t="s">
        <v>35</v>
      </c>
      <c r="B98" t="s">
        <v>36</v>
      </c>
      <c r="C98" s="52">
        <v>654</v>
      </c>
      <c r="D98" s="15">
        <v>710.33843881411303</v>
      </c>
      <c r="E98" s="30"/>
      <c r="F98" s="18" t="s">
        <v>118</v>
      </c>
      <c r="G98">
        <v>6</v>
      </c>
      <c r="H98" s="53"/>
      <c r="I98" s="5"/>
      <c r="J98" s="16"/>
      <c r="K98" s="5"/>
    </row>
    <row r="99" spans="1:11" x14ac:dyDescent="0.25">
      <c r="A99" t="s">
        <v>37</v>
      </c>
      <c r="B99" t="s">
        <v>38</v>
      </c>
      <c r="C99" s="52">
        <v>3607</v>
      </c>
      <c r="D99" s="15">
        <v>3919.1086279399342</v>
      </c>
      <c r="E99" s="30"/>
      <c r="F99" s="18" t="s">
        <v>118</v>
      </c>
      <c r="G99">
        <v>4</v>
      </c>
      <c r="H99" s="53"/>
      <c r="I99" s="5"/>
      <c r="J99" s="16"/>
      <c r="K99" s="5"/>
    </row>
    <row r="100" spans="1:11" x14ac:dyDescent="0.25">
      <c r="A100" t="s">
        <v>4</v>
      </c>
      <c r="B100" t="s">
        <v>5</v>
      </c>
      <c r="C100" s="52">
        <v>924</v>
      </c>
      <c r="D100" s="15">
        <v>1004.2715859096081</v>
      </c>
      <c r="E100" s="30"/>
      <c r="F100" s="18" t="s">
        <v>118</v>
      </c>
      <c r="G100">
        <v>5</v>
      </c>
      <c r="H100" s="53"/>
      <c r="I100" s="5"/>
      <c r="J100" s="16"/>
      <c r="K100" s="5"/>
    </row>
    <row r="101" spans="1:11" x14ac:dyDescent="0.25">
      <c r="A101" t="s">
        <v>81</v>
      </c>
      <c r="B101" t="s">
        <v>23</v>
      </c>
      <c r="C101" s="52">
        <v>631</v>
      </c>
      <c r="D101" s="15">
        <v>685.84400988948846</v>
      </c>
      <c r="E101" s="30"/>
      <c r="F101" s="18"/>
      <c r="G101">
        <v>5</v>
      </c>
      <c r="H101" s="53"/>
      <c r="I101" s="5"/>
      <c r="J101" s="16"/>
      <c r="K101" s="5"/>
    </row>
    <row r="102" spans="1:11" x14ac:dyDescent="0.25">
      <c r="A102" t="s">
        <v>44</v>
      </c>
      <c r="B102" t="s">
        <v>45</v>
      </c>
      <c r="C102" s="52">
        <v>4508</v>
      </c>
      <c r="D102" s="15">
        <v>4898.885784924918</v>
      </c>
      <c r="E102" s="30"/>
      <c r="F102" s="18"/>
      <c r="G102">
        <v>4</v>
      </c>
      <c r="H102" s="53"/>
      <c r="I102" s="5"/>
      <c r="J102" s="16"/>
      <c r="K102" s="5"/>
    </row>
    <row r="103" spans="1:11" x14ac:dyDescent="0.25">
      <c r="A103" t="s">
        <v>2</v>
      </c>
      <c r="B103" t="s">
        <v>3</v>
      </c>
      <c r="C103" s="52">
        <v>1127</v>
      </c>
      <c r="D103" s="15">
        <v>1224.7214462312295</v>
      </c>
      <c r="E103" s="30"/>
      <c r="F103" s="18"/>
      <c r="G103">
        <v>6</v>
      </c>
      <c r="H103" s="53"/>
      <c r="I103" s="5"/>
      <c r="J103" s="16"/>
      <c r="K103" s="5"/>
    </row>
    <row r="104" spans="1:11" x14ac:dyDescent="0.25">
      <c r="A104" t="s">
        <v>67</v>
      </c>
      <c r="B104" t="s">
        <v>68</v>
      </c>
      <c r="C104" s="52">
        <v>654</v>
      </c>
      <c r="D104" s="15">
        <v>710.33843881411303</v>
      </c>
      <c r="E104" s="30"/>
      <c r="F104" s="18" t="s">
        <v>118</v>
      </c>
      <c r="G104">
        <v>6</v>
      </c>
      <c r="H104" s="53"/>
      <c r="I104" s="5"/>
      <c r="J104" s="16"/>
      <c r="K104" s="5"/>
    </row>
    <row r="105" spans="1:11" x14ac:dyDescent="0.25">
      <c r="A105" t="s">
        <v>60</v>
      </c>
      <c r="B105" t="s">
        <v>61</v>
      </c>
      <c r="C105" s="52">
        <v>5252</v>
      </c>
      <c r="D105" s="15">
        <v>5707.2019394375293</v>
      </c>
      <c r="E105" s="30"/>
      <c r="F105" s="18" t="s">
        <v>118</v>
      </c>
      <c r="G105">
        <v>4</v>
      </c>
      <c r="H105" s="53"/>
      <c r="I105" s="5"/>
      <c r="J105" s="16"/>
      <c r="K105" s="5"/>
    </row>
    <row r="106" spans="1:11" x14ac:dyDescent="0.25">
      <c r="A106" t="s">
        <v>67</v>
      </c>
      <c r="B106" t="s">
        <v>68</v>
      </c>
      <c r="C106" s="52">
        <v>857</v>
      </c>
      <c r="D106" s="15">
        <v>930.78829913573441</v>
      </c>
      <c r="E106" s="30"/>
      <c r="F106" s="18"/>
      <c r="G106">
        <v>5</v>
      </c>
      <c r="H106" s="53"/>
      <c r="I106" s="5"/>
      <c r="J106" s="16"/>
      <c r="K106" s="5"/>
    </row>
    <row r="107" spans="1:11" x14ac:dyDescent="0.25">
      <c r="A107" t="s">
        <v>46</v>
      </c>
      <c r="B107" t="s">
        <v>47</v>
      </c>
      <c r="C107" s="52">
        <v>924</v>
      </c>
      <c r="D107" s="15">
        <v>1004.2715859096081</v>
      </c>
      <c r="E107" s="30"/>
      <c r="F107" s="18" t="s">
        <v>118</v>
      </c>
      <c r="G107">
        <v>4</v>
      </c>
      <c r="H107" s="53"/>
      <c r="I107" s="5"/>
      <c r="J107" s="16"/>
      <c r="K107" s="5"/>
    </row>
    <row r="108" spans="1:11" x14ac:dyDescent="0.25">
      <c r="A108" t="s">
        <v>26</v>
      </c>
      <c r="B108" t="s">
        <v>9</v>
      </c>
      <c r="C108" s="52">
        <v>654</v>
      </c>
      <c r="D108" s="15">
        <v>710.33843881411303</v>
      </c>
      <c r="E108" s="30"/>
      <c r="F108" s="18"/>
      <c r="G108">
        <v>2</v>
      </c>
      <c r="H108" s="53"/>
      <c r="I108" s="5"/>
      <c r="J108" s="16"/>
      <c r="K108" s="5"/>
    </row>
    <row r="109" spans="1:11" x14ac:dyDescent="0.25">
      <c r="A109" t="s">
        <v>6</v>
      </c>
      <c r="B109" t="s">
        <v>7</v>
      </c>
      <c r="C109" s="52">
        <v>924</v>
      </c>
      <c r="D109" s="15">
        <v>1004.2715859096081</v>
      </c>
      <c r="E109" s="30"/>
      <c r="F109" s="18" t="s">
        <v>118</v>
      </c>
      <c r="G109">
        <v>3</v>
      </c>
      <c r="H109" s="53"/>
      <c r="I109" s="5"/>
      <c r="J109" s="16"/>
      <c r="K109" s="5"/>
    </row>
    <row r="110" spans="1:11" x14ac:dyDescent="0.25">
      <c r="A110" t="s">
        <v>58</v>
      </c>
      <c r="B110" t="s">
        <v>59</v>
      </c>
      <c r="C110" s="52">
        <v>654</v>
      </c>
      <c r="D110" s="15">
        <v>710.33843881411303</v>
      </c>
      <c r="E110" s="30"/>
      <c r="F110" s="18" t="s">
        <v>118</v>
      </c>
      <c r="G110">
        <v>3</v>
      </c>
      <c r="H110" s="53"/>
      <c r="I110" s="5"/>
      <c r="J110" s="16"/>
      <c r="K110" s="5"/>
    </row>
    <row r="111" spans="1:11" x14ac:dyDescent="0.25">
      <c r="A111" t="s">
        <v>18</v>
      </c>
      <c r="B111" t="s">
        <v>19</v>
      </c>
      <c r="C111" s="52">
        <v>1127</v>
      </c>
      <c r="D111" s="15">
        <v>1224.7214462312295</v>
      </c>
      <c r="E111" s="30"/>
      <c r="F111" s="18" t="s">
        <v>118</v>
      </c>
      <c r="G111">
        <v>6</v>
      </c>
      <c r="H111" s="53"/>
      <c r="I111" s="5"/>
      <c r="J111" s="16"/>
      <c r="K111" s="5"/>
    </row>
    <row r="112" spans="1:11" x14ac:dyDescent="0.25">
      <c r="A112" t="s">
        <v>50</v>
      </c>
      <c r="B112" t="s">
        <v>51</v>
      </c>
      <c r="C112" s="52">
        <v>654</v>
      </c>
      <c r="D112" s="15">
        <v>710.33843881411303</v>
      </c>
      <c r="E112" s="30"/>
      <c r="F112" s="18" t="s">
        <v>118</v>
      </c>
      <c r="G112">
        <v>4</v>
      </c>
      <c r="H112" s="53"/>
      <c r="I112" s="5"/>
      <c r="J112" s="16"/>
      <c r="K112" s="5"/>
    </row>
    <row r="113" spans="1:11" x14ac:dyDescent="0.25">
      <c r="A113" t="s">
        <v>56</v>
      </c>
      <c r="B113" t="s">
        <v>57</v>
      </c>
      <c r="C113" s="52">
        <v>654</v>
      </c>
      <c r="D113" s="15">
        <v>710.33843881411303</v>
      </c>
      <c r="E113" s="30"/>
      <c r="F113" s="18" t="s">
        <v>118</v>
      </c>
      <c r="G113">
        <v>2</v>
      </c>
      <c r="H113" s="53"/>
      <c r="I113" s="5"/>
      <c r="J113" s="16"/>
      <c r="K113" s="5"/>
    </row>
    <row r="114" spans="1:11" x14ac:dyDescent="0.25">
      <c r="A114" t="s">
        <v>6</v>
      </c>
      <c r="B114" t="s">
        <v>7</v>
      </c>
      <c r="C114" s="52">
        <v>766</v>
      </c>
      <c r="D114" s="15">
        <v>832.81058343723601</v>
      </c>
      <c r="E114" s="30"/>
      <c r="F114" s="18"/>
      <c r="G114">
        <v>6</v>
      </c>
      <c r="H114" s="53"/>
      <c r="I114" s="5"/>
      <c r="J114" s="16"/>
      <c r="K114" s="5"/>
    </row>
    <row r="115" spans="1:11" x14ac:dyDescent="0.25">
      <c r="A115" t="s">
        <v>40</v>
      </c>
      <c r="B115" t="s">
        <v>41</v>
      </c>
      <c r="C115" s="52">
        <v>631</v>
      </c>
      <c r="D115" s="15">
        <v>685.84400988948846</v>
      </c>
      <c r="E115" s="30"/>
      <c r="F115" s="18"/>
      <c r="G115">
        <v>6</v>
      </c>
      <c r="H115" s="53"/>
      <c r="I115" s="5"/>
      <c r="J115" s="16"/>
      <c r="K115" s="5"/>
    </row>
    <row r="116" spans="1:11" x14ac:dyDescent="0.25">
      <c r="A116" t="s">
        <v>6</v>
      </c>
      <c r="B116" t="s">
        <v>7</v>
      </c>
      <c r="C116" s="52">
        <v>766</v>
      </c>
      <c r="D116" s="15">
        <v>832.81058343723601</v>
      </c>
      <c r="E116" s="30"/>
      <c r="F116" s="18"/>
      <c r="G116">
        <v>3</v>
      </c>
      <c r="H116" s="53"/>
      <c r="I116" s="5"/>
      <c r="J116" s="16"/>
      <c r="K116" s="5"/>
    </row>
    <row r="117" spans="1:11" x14ac:dyDescent="0.25">
      <c r="A117" t="s">
        <v>10</v>
      </c>
      <c r="B117" t="s">
        <v>11</v>
      </c>
      <c r="C117" s="52">
        <v>947</v>
      </c>
      <c r="D117" s="15">
        <v>1028.7660148342327</v>
      </c>
      <c r="E117" s="30"/>
      <c r="F117" s="18" t="s">
        <v>118</v>
      </c>
      <c r="G117">
        <v>6</v>
      </c>
      <c r="H117" s="53"/>
      <c r="I117" s="5"/>
      <c r="J117" s="16"/>
      <c r="K117" s="5"/>
    </row>
    <row r="118" spans="1:11" x14ac:dyDescent="0.25">
      <c r="A118" t="s">
        <v>84</v>
      </c>
      <c r="B118" t="s">
        <v>85</v>
      </c>
      <c r="C118" s="52">
        <v>654</v>
      </c>
      <c r="D118" s="15">
        <v>710.33843881411303</v>
      </c>
      <c r="E118" s="30"/>
      <c r="F118" s="18"/>
      <c r="G118">
        <v>1</v>
      </c>
      <c r="H118" s="53"/>
      <c r="I118" s="5"/>
      <c r="J118" s="16"/>
      <c r="K118" s="5"/>
    </row>
    <row r="119" spans="1:11" x14ac:dyDescent="0.25">
      <c r="A119" t="s">
        <v>29</v>
      </c>
      <c r="B119" t="s">
        <v>30</v>
      </c>
      <c r="C119" s="52">
        <v>924</v>
      </c>
      <c r="D119" s="15">
        <v>1004.2715859096081</v>
      </c>
      <c r="E119" s="30"/>
      <c r="F119" s="18"/>
      <c r="G119">
        <v>1</v>
      </c>
      <c r="H119" s="53"/>
      <c r="I119" s="5"/>
      <c r="J119" s="16"/>
      <c r="K119" s="5"/>
    </row>
    <row r="120" spans="1:11" x14ac:dyDescent="0.25">
      <c r="A120" t="s">
        <v>79</v>
      </c>
      <c r="B120" t="s">
        <v>47</v>
      </c>
      <c r="C120" s="52">
        <v>1555</v>
      </c>
      <c r="D120" s="15">
        <v>1690.1155957990966</v>
      </c>
      <c r="E120" s="30"/>
      <c r="F120" s="18"/>
      <c r="G120">
        <v>2</v>
      </c>
      <c r="H120" s="53"/>
      <c r="I120" s="5"/>
      <c r="J120" s="16"/>
      <c r="K120" s="5"/>
    </row>
    <row r="121" spans="1:11" x14ac:dyDescent="0.25">
      <c r="A121" t="s">
        <v>8</v>
      </c>
      <c r="B121" t="s">
        <v>9</v>
      </c>
      <c r="C121" s="52">
        <v>969</v>
      </c>
      <c r="D121" s="15">
        <v>1053.2604437588573</v>
      </c>
      <c r="E121" s="30"/>
      <c r="F121" s="18"/>
      <c r="G121">
        <v>4</v>
      </c>
      <c r="H121" s="53"/>
      <c r="I121" s="5"/>
      <c r="J121" s="16"/>
      <c r="K121" s="5"/>
    </row>
    <row r="122" spans="1:11" x14ac:dyDescent="0.25">
      <c r="A122" t="s">
        <v>64</v>
      </c>
      <c r="B122" t="s">
        <v>65</v>
      </c>
      <c r="C122" s="52">
        <v>1803</v>
      </c>
      <c r="D122" s="15">
        <v>1959.5543139699671</v>
      </c>
      <c r="E122" s="30"/>
      <c r="F122" s="18" t="s">
        <v>118</v>
      </c>
      <c r="G122">
        <v>3</v>
      </c>
      <c r="H122" s="53"/>
      <c r="I122" s="5"/>
      <c r="J122" s="16"/>
      <c r="K122" s="5"/>
    </row>
    <row r="123" spans="1:11" x14ac:dyDescent="0.25">
      <c r="A123" t="s">
        <v>42</v>
      </c>
      <c r="B123" t="s">
        <v>43</v>
      </c>
      <c r="C123" s="52">
        <v>631</v>
      </c>
      <c r="D123" s="15">
        <v>685.84400988948846</v>
      </c>
      <c r="E123" s="30"/>
      <c r="F123" s="18" t="s">
        <v>118</v>
      </c>
      <c r="G123">
        <v>5</v>
      </c>
      <c r="H123" s="53"/>
      <c r="I123" s="5"/>
      <c r="J123" s="16"/>
      <c r="K123" s="5"/>
    </row>
    <row r="124" spans="1:11" x14ac:dyDescent="0.25">
      <c r="A124" t="s">
        <v>14</v>
      </c>
      <c r="B124" t="s">
        <v>15</v>
      </c>
      <c r="C124" s="52">
        <v>654</v>
      </c>
      <c r="D124" s="15">
        <v>710.33843881411303</v>
      </c>
      <c r="E124" s="30"/>
      <c r="F124" s="18"/>
      <c r="G124">
        <v>6</v>
      </c>
      <c r="H124" s="53"/>
      <c r="I124" s="5"/>
      <c r="J124" s="16"/>
      <c r="K124" s="5"/>
    </row>
    <row r="125" spans="1:11" x14ac:dyDescent="0.25">
      <c r="A125" t="s">
        <v>66</v>
      </c>
      <c r="B125" t="s">
        <v>13</v>
      </c>
      <c r="C125" s="52">
        <v>654</v>
      </c>
      <c r="D125" s="15">
        <v>710.33843881411303</v>
      </c>
      <c r="E125" s="30"/>
      <c r="F125" s="18"/>
      <c r="G125">
        <v>2</v>
      </c>
      <c r="H125" s="53"/>
      <c r="I125" s="5"/>
      <c r="J125" s="16"/>
      <c r="K125" s="5"/>
    </row>
    <row r="126" spans="1:11" x14ac:dyDescent="0.25">
      <c r="A126" t="s">
        <v>29</v>
      </c>
      <c r="B126" t="s">
        <v>30</v>
      </c>
      <c r="C126" s="52">
        <v>1014</v>
      </c>
      <c r="D126" s="15">
        <v>1102.2493016081064</v>
      </c>
      <c r="E126" s="30"/>
      <c r="F126" s="18" t="s">
        <v>118</v>
      </c>
      <c r="G126">
        <v>5</v>
      </c>
      <c r="H126" s="53"/>
      <c r="I126" s="5"/>
      <c r="J126" s="16"/>
      <c r="K126" s="5"/>
    </row>
    <row r="127" spans="1:11" x14ac:dyDescent="0.25">
      <c r="A127" t="s">
        <v>16</v>
      </c>
      <c r="B127" t="s">
        <v>17</v>
      </c>
      <c r="C127" s="52">
        <v>4508</v>
      </c>
      <c r="D127" s="15">
        <v>4898.885784924918</v>
      </c>
      <c r="E127" s="30"/>
      <c r="F127" s="18" t="s">
        <v>118</v>
      </c>
      <c r="G127">
        <v>3</v>
      </c>
      <c r="H127" s="53"/>
      <c r="I127" s="5"/>
      <c r="J127" s="16"/>
      <c r="K127" s="5"/>
    </row>
    <row r="128" spans="1:11" x14ac:dyDescent="0.25">
      <c r="A128" t="s">
        <v>76</v>
      </c>
      <c r="B128" t="s">
        <v>77</v>
      </c>
      <c r="C128" s="52">
        <v>969</v>
      </c>
      <c r="D128" s="15">
        <v>1053.2604437588573</v>
      </c>
      <c r="E128" s="30"/>
      <c r="F128" s="18" t="s">
        <v>118</v>
      </c>
      <c r="G128">
        <v>5</v>
      </c>
      <c r="H128" s="53"/>
      <c r="I128" s="5"/>
      <c r="J128" s="16"/>
      <c r="K128" s="5"/>
    </row>
    <row r="129" spans="1:11" x14ac:dyDescent="0.25">
      <c r="A129" t="s">
        <v>39</v>
      </c>
      <c r="B129" t="s">
        <v>30</v>
      </c>
      <c r="C129" s="52">
        <v>654</v>
      </c>
      <c r="D129" s="15">
        <v>710.33843881411303</v>
      </c>
      <c r="E129" s="30"/>
      <c r="F129" s="18"/>
      <c r="G129">
        <v>5</v>
      </c>
      <c r="H129" s="53"/>
      <c r="I129" s="5"/>
      <c r="J129" s="16"/>
      <c r="K129" s="5"/>
    </row>
    <row r="130" spans="1:11" x14ac:dyDescent="0.25">
      <c r="A130" t="s">
        <v>29</v>
      </c>
      <c r="B130" t="s">
        <v>9</v>
      </c>
      <c r="C130" s="52">
        <v>857</v>
      </c>
      <c r="D130" s="15">
        <v>930.78829913573441</v>
      </c>
      <c r="E130" s="30"/>
      <c r="F130" s="18" t="s">
        <v>118</v>
      </c>
      <c r="G130">
        <v>1</v>
      </c>
      <c r="H130" s="53"/>
      <c r="I130" s="5"/>
      <c r="J130" s="16"/>
      <c r="K130" s="5"/>
    </row>
    <row r="131" spans="1:11" x14ac:dyDescent="0.25">
      <c r="A131" t="s">
        <v>12</v>
      </c>
      <c r="B131" t="s">
        <v>30</v>
      </c>
      <c r="C131" s="52">
        <v>1398</v>
      </c>
      <c r="D131" s="15">
        <v>1518.6545933267246</v>
      </c>
      <c r="E131" s="30"/>
      <c r="F131" s="18" t="s">
        <v>118</v>
      </c>
      <c r="G131">
        <v>3</v>
      </c>
      <c r="H131" s="53"/>
      <c r="I131" s="5"/>
      <c r="J131" s="16"/>
      <c r="K131" s="5"/>
    </row>
    <row r="132" spans="1:11" x14ac:dyDescent="0.25">
      <c r="A132" t="s">
        <v>14</v>
      </c>
      <c r="B132" t="s">
        <v>15</v>
      </c>
      <c r="C132" s="52">
        <v>2480</v>
      </c>
      <c r="D132" s="15">
        <v>2694.3871817087047</v>
      </c>
      <c r="E132" s="30"/>
      <c r="F132" s="18" t="s">
        <v>118</v>
      </c>
      <c r="G132">
        <v>5</v>
      </c>
      <c r="H132" s="53"/>
      <c r="I132" s="5"/>
      <c r="J132" s="16"/>
      <c r="K132" s="5"/>
    </row>
    <row r="133" spans="1:11" x14ac:dyDescent="0.25">
      <c r="A133" t="s">
        <v>18</v>
      </c>
      <c r="B133" t="s">
        <v>19</v>
      </c>
      <c r="C133" s="52">
        <v>1398</v>
      </c>
      <c r="D133" s="15">
        <v>1518.6545933267246</v>
      </c>
      <c r="E133" s="30"/>
      <c r="F133" s="18" t="s">
        <v>118</v>
      </c>
      <c r="G133">
        <v>4</v>
      </c>
      <c r="H133" s="53"/>
      <c r="I133" s="5"/>
      <c r="J133" s="16"/>
      <c r="K133" s="5"/>
    </row>
    <row r="134" spans="1:11" x14ac:dyDescent="0.25">
      <c r="A134" t="s">
        <v>40</v>
      </c>
      <c r="B134" t="s">
        <v>41</v>
      </c>
      <c r="C134" s="52">
        <v>924</v>
      </c>
      <c r="D134" s="15">
        <v>1004.2715859096081</v>
      </c>
      <c r="E134" s="30"/>
      <c r="F134" s="18"/>
      <c r="G134">
        <v>2</v>
      </c>
      <c r="H134" s="53"/>
      <c r="I134" s="5"/>
      <c r="J134" s="16"/>
      <c r="K134" s="5"/>
    </row>
    <row r="135" spans="1:11" x14ac:dyDescent="0.25">
      <c r="A135" t="s">
        <v>78</v>
      </c>
      <c r="B135" t="s">
        <v>63</v>
      </c>
      <c r="C135" s="52">
        <v>969</v>
      </c>
      <c r="D135" s="15">
        <v>1053.2604437588573</v>
      </c>
      <c r="E135" s="30"/>
      <c r="F135" s="18" t="s">
        <v>118</v>
      </c>
      <c r="G135">
        <v>4</v>
      </c>
      <c r="H135" s="53"/>
      <c r="I135" s="5"/>
      <c r="J135" s="16"/>
      <c r="K135" s="5"/>
    </row>
    <row r="136" spans="1:11" x14ac:dyDescent="0.25">
      <c r="A136" t="s">
        <v>18</v>
      </c>
      <c r="B136" t="s">
        <v>19</v>
      </c>
      <c r="C136" s="52">
        <v>2750</v>
      </c>
      <c r="D136" s="15">
        <v>2988.3203288042</v>
      </c>
      <c r="E136" s="30"/>
      <c r="F136" s="18"/>
      <c r="G136">
        <v>3</v>
      </c>
      <c r="H136" s="53"/>
      <c r="I136" s="5"/>
      <c r="J136" s="16"/>
      <c r="K136" s="5"/>
    </row>
    <row r="137" spans="1:11" x14ac:dyDescent="0.25">
      <c r="A137" t="s">
        <v>52</v>
      </c>
      <c r="B137" t="s">
        <v>53</v>
      </c>
      <c r="C137" s="52">
        <v>1398</v>
      </c>
      <c r="D137" s="15">
        <v>1518.6545933267246</v>
      </c>
      <c r="E137" s="30"/>
      <c r="F137" s="18"/>
      <c r="G137">
        <v>6</v>
      </c>
      <c r="H137" s="53"/>
      <c r="I137" s="5"/>
      <c r="J137" s="16"/>
      <c r="K137" s="5"/>
    </row>
    <row r="138" spans="1:11" x14ac:dyDescent="0.25">
      <c r="A138" t="s">
        <v>26</v>
      </c>
      <c r="B138" t="s">
        <v>9</v>
      </c>
      <c r="C138" s="52">
        <v>1014</v>
      </c>
      <c r="D138" s="15">
        <v>1102.2493016081064</v>
      </c>
      <c r="E138" s="30"/>
      <c r="F138" s="18" t="s">
        <v>118</v>
      </c>
      <c r="G138">
        <v>5</v>
      </c>
      <c r="H138" s="53"/>
      <c r="I138" s="5"/>
      <c r="J138" s="16"/>
      <c r="K138" s="5"/>
    </row>
    <row r="139" spans="1:11" x14ac:dyDescent="0.25">
      <c r="A139" t="s">
        <v>84</v>
      </c>
      <c r="B139" t="s">
        <v>85</v>
      </c>
      <c r="C139" s="52">
        <v>857</v>
      </c>
      <c r="D139" s="15">
        <v>930.78829913573441</v>
      </c>
      <c r="E139" s="30"/>
      <c r="F139" s="18" t="s">
        <v>118</v>
      </c>
      <c r="G139">
        <v>3</v>
      </c>
      <c r="H139" s="53"/>
      <c r="I139" s="5"/>
      <c r="J139" s="16"/>
      <c r="K139" s="5"/>
    </row>
    <row r="140" spans="1:11" x14ac:dyDescent="0.25">
      <c r="A140" t="s">
        <v>29</v>
      </c>
      <c r="B140" t="s">
        <v>30</v>
      </c>
      <c r="C140" s="52">
        <v>3607</v>
      </c>
      <c r="D140" s="15">
        <v>3919.1086279399342</v>
      </c>
      <c r="E140" s="30"/>
      <c r="F140" s="18"/>
      <c r="G140">
        <v>2</v>
      </c>
      <c r="H140" s="53"/>
      <c r="I140" s="5"/>
      <c r="J140" s="16"/>
      <c r="K140" s="5"/>
    </row>
    <row r="141" spans="1:11" x14ac:dyDescent="0.25">
      <c r="A141" t="s">
        <v>8</v>
      </c>
      <c r="B141" t="s">
        <v>9</v>
      </c>
      <c r="C141" s="52">
        <v>5635</v>
      </c>
      <c r="D141" s="15">
        <v>6123.6072311561475</v>
      </c>
      <c r="E141" s="30"/>
      <c r="F141" s="18"/>
      <c r="G141">
        <v>1</v>
      </c>
      <c r="H141" s="53"/>
      <c r="I141" s="5"/>
      <c r="J141" s="16"/>
      <c r="K141" s="5"/>
    </row>
    <row r="142" spans="1:11" x14ac:dyDescent="0.25">
      <c r="A142" t="s">
        <v>73</v>
      </c>
      <c r="B142" t="s">
        <v>74</v>
      </c>
      <c r="C142" s="52">
        <v>3471</v>
      </c>
      <c r="D142" s="15">
        <v>3772.1420543921868</v>
      </c>
      <c r="E142" s="30"/>
      <c r="F142" s="18" t="s">
        <v>118</v>
      </c>
      <c r="G142">
        <v>1</v>
      </c>
      <c r="H142" s="53"/>
      <c r="I142" s="5"/>
      <c r="J142" s="16"/>
      <c r="K142" s="5"/>
    </row>
    <row r="143" spans="1:11" x14ac:dyDescent="0.25">
      <c r="A143" t="s">
        <v>33</v>
      </c>
      <c r="B143" t="s">
        <v>34</v>
      </c>
      <c r="C143" s="52">
        <v>3043</v>
      </c>
      <c r="D143" s="15">
        <v>3306.7479048243194</v>
      </c>
      <c r="E143" s="30"/>
      <c r="F143" s="18"/>
      <c r="G143">
        <v>2</v>
      </c>
      <c r="H143" s="53"/>
      <c r="I143" s="5"/>
      <c r="J143" s="16"/>
      <c r="K143" s="5"/>
    </row>
    <row r="144" spans="1:11" x14ac:dyDescent="0.25">
      <c r="A144" t="s">
        <v>29</v>
      </c>
      <c r="B144" t="s">
        <v>9</v>
      </c>
      <c r="C144" s="52">
        <v>654</v>
      </c>
      <c r="D144" s="15">
        <v>710.33843881411303</v>
      </c>
      <c r="E144" s="30"/>
      <c r="F144" s="18" t="s">
        <v>118</v>
      </c>
      <c r="G144">
        <v>2</v>
      </c>
      <c r="H144" s="53"/>
      <c r="I144" s="5"/>
      <c r="J144" s="16"/>
      <c r="K144" s="5"/>
    </row>
    <row r="145" spans="1:11" x14ac:dyDescent="0.25">
      <c r="A145" t="s">
        <v>50</v>
      </c>
      <c r="B145" t="s">
        <v>51</v>
      </c>
      <c r="C145" s="52">
        <v>1014</v>
      </c>
      <c r="D145" s="15">
        <v>1102.2493016081064</v>
      </c>
      <c r="E145" s="30"/>
      <c r="F145" s="18" t="s">
        <v>118</v>
      </c>
      <c r="G145">
        <v>1</v>
      </c>
      <c r="H145" s="53"/>
      <c r="I145" s="5"/>
      <c r="J145" s="16"/>
      <c r="K145" s="5"/>
    </row>
    <row r="146" spans="1:11" x14ac:dyDescent="0.25">
      <c r="A146" t="s">
        <v>35</v>
      </c>
      <c r="B146" t="s">
        <v>36</v>
      </c>
      <c r="C146" s="52">
        <v>969</v>
      </c>
      <c r="D146" s="15">
        <v>1053.2604437588573</v>
      </c>
      <c r="E146" s="30"/>
      <c r="F146" s="18"/>
      <c r="G146">
        <v>2</v>
      </c>
      <c r="H146" s="53"/>
      <c r="I146" s="5"/>
      <c r="J146" s="16"/>
      <c r="K146" s="5"/>
    </row>
    <row r="147" spans="1:11" x14ac:dyDescent="0.25">
      <c r="A147" t="s">
        <v>12</v>
      </c>
      <c r="B147" t="s">
        <v>30</v>
      </c>
      <c r="C147" s="52">
        <v>654</v>
      </c>
      <c r="D147" s="15">
        <v>710.33843881411303</v>
      </c>
      <c r="E147" s="30"/>
      <c r="F147" s="18"/>
      <c r="G147">
        <v>6</v>
      </c>
      <c r="H147" s="53"/>
      <c r="I147" s="5"/>
      <c r="J147" s="16"/>
      <c r="K147" s="5"/>
    </row>
    <row r="148" spans="1:11" x14ac:dyDescent="0.25">
      <c r="A148" t="s">
        <v>12</v>
      </c>
      <c r="B148" t="s">
        <v>13</v>
      </c>
      <c r="C148" s="52">
        <v>947</v>
      </c>
      <c r="D148" s="15">
        <v>1028.7660148342327</v>
      </c>
      <c r="E148" s="30"/>
      <c r="F148" s="18"/>
      <c r="G148">
        <v>6</v>
      </c>
      <c r="H148" s="53"/>
      <c r="I148" s="5"/>
      <c r="J148" s="16"/>
      <c r="K148" s="5"/>
    </row>
    <row r="149" spans="1:11" x14ac:dyDescent="0.25">
      <c r="A149" t="s">
        <v>14</v>
      </c>
      <c r="B149" t="s">
        <v>15</v>
      </c>
      <c r="C149" s="52">
        <v>654</v>
      </c>
      <c r="D149" s="15">
        <v>710.33843881411303</v>
      </c>
      <c r="E149" s="30"/>
      <c r="F149" s="18"/>
      <c r="G149">
        <v>4</v>
      </c>
      <c r="H149" s="53"/>
      <c r="I149" s="5"/>
      <c r="J149" s="16"/>
      <c r="K149" s="5"/>
    </row>
    <row r="150" spans="1:11" x14ac:dyDescent="0.25">
      <c r="A150" t="s">
        <v>25</v>
      </c>
      <c r="B150" t="s">
        <v>24</v>
      </c>
      <c r="C150" s="52">
        <v>1803</v>
      </c>
      <c r="D150" s="15">
        <v>1959.5543139699671</v>
      </c>
      <c r="E150" s="30"/>
      <c r="F150" s="18" t="s">
        <v>118</v>
      </c>
      <c r="G150">
        <v>3</v>
      </c>
      <c r="H150" s="53"/>
      <c r="I150" s="5"/>
      <c r="J150" s="16"/>
      <c r="K150" s="5"/>
    </row>
    <row r="151" spans="1:11" x14ac:dyDescent="0.25">
      <c r="A151" t="s">
        <v>48</v>
      </c>
      <c r="B151" t="s">
        <v>49</v>
      </c>
      <c r="C151" s="52">
        <v>969</v>
      </c>
      <c r="D151" s="15">
        <v>1053.2604437588573</v>
      </c>
      <c r="E151" s="30"/>
      <c r="F151" s="18" t="s">
        <v>118</v>
      </c>
      <c r="G151">
        <v>1</v>
      </c>
      <c r="H151" s="53"/>
      <c r="I151" s="5"/>
      <c r="J151" s="16"/>
      <c r="K151" s="5"/>
    </row>
    <row r="152" spans="1:11" x14ac:dyDescent="0.25">
      <c r="A152" t="s">
        <v>2</v>
      </c>
      <c r="B152" t="s">
        <v>3</v>
      </c>
      <c r="C152" s="52">
        <v>1127</v>
      </c>
      <c r="D152" s="15">
        <v>1224.7214462312295</v>
      </c>
      <c r="E152" s="30"/>
      <c r="F152" s="18"/>
      <c r="G152">
        <v>4</v>
      </c>
      <c r="H152" s="53"/>
      <c r="I152" s="5"/>
      <c r="J152" s="16"/>
      <c r="K152" s="5"/>
    </row>
    <row r="153" spans="1:11" x14ac:dyDescent="0.25">
      <c r="A153" t="s">
        <v>22</v>
      </c>
      <c r="B153" t="s">
        <v>23</v>
      </c>
      <c r="C153" s="52">
        <v>5252</v>
      </c>
      <c r="D153" s="15">
        <v>5707.2019394375293</v>
      </c>
      <c r="E153" s="30"/>
      <c r="F153" s="18"/>
      <c r="G153">
        <v>3</v>
      </c>
      <c r="H153" s="53"/>
      <c r="I153" s="5"/>
      <c r="J153" s="16"/>
      <c r="K153" s="5"/>
    </row>
    <row r="154" spans="1:11" x14ac:dyDescent="0.25">
      <c r="A154" t="s">
        <v>12</v>
      </c>
      <c r="B154" t="s">
        <v>13</v>
      </c>
      <c r="C154" s="52">
        <v>947</v>
      </c>
      <c r="D154" s="15">
        <v>1028.7660148342327</v>
      </c>
      <c r="E154" s="30"/>
      <c r="F154" s="18" t="s">
        <v>118</v>
      </c>
      <c r="G154">
        <v>1</v>
      </c>
      <c r="H154" s="53"/>
      <c r="I154" s="5"/>
      <c r="J154" s="16"/>
      <c r="K154" s="5"/>
    </row>
    <row r="155" spans="1:11" x14ac:dyDescent="0.25">
      <c r="A155" t="s">
        <v>69</v>
      </c>
      <c r="B155" t="s">
        <v>70</v>
      </c>
      <c r="C155" s="52">
        <v>2254</v>
      </c>
      <c r="D155" s="15">
        <v>2449.442892462459</v>
      </c>
      <c r="E155" s="30"/>
      <c r="F155" s="18" t="s">
        <v>118</v>
      </c>
      <c r="G155">
        <v>5</v>
      </c>
      <c r="H155" s="53"/>
      <c r="I155" s="5"/>
      <c r="J155" s="16"/>
      <c r="K155" s="5"/>
    </row>
    <row r="156" spans="1:11" x14ac:dyDescent="0.25">
      <c r="A156" t="s">
        <v>75</v>
      </c>
      <c r="B156" t="s">
        <v>21</v>
      </c>
      <c r="C156" s="52">
        <v>924</v>
      </c>
      <c r="D156" s="15">
        <v>1004.2715859096081</v>
      </c>
      <c r="E156" s="30"/>
      <c r="F156" s="18"/>
      <c r="G156">
        <v>5</v>
      </c>
      <c r="H156" s="53"/>
      <c r="I156" s="5"/>
      <c r="J156" s="16"/>
      <c r="K156" s="5"/>
    </row>
    <row r="157" spans="1:11" x14ac:dyDescent="0.25">
      <c r="A157" t="s">
        <v>20</v>
      </c>
      <c r="B157" t="s">
        <v>21</v>
      </c>
      <c r="C157" s="52">
        <v>1736</v>
      </c>
      <c r="D157" s="15">
        <v>1886.0710271960934</v>
      </c>
      <c r="E157" s="30"/>
      <c r="F157" s="18" t="s">
        <v>118</v>
      </c>
      <c r="G157">
        <v>2</v>
      </c>
      <c r="H157" s="53"/>
      <c r="I157" s="5"/>
      <c r="J157" s="16"/>
      <c r="K157" s="5"/>
    </row>
    <row r="158" spans="1:11" x14ac:dyDescent="0.25">
      <c r="A158" t="s">
        <v>4</v>
      </c>
      <c r="B158" t="s">
        <v>5</v>
      </c>
      <c r="C158" s="52">
        <v>924</v>
      </c>
      <c r="D158" s="15">
        <v>1004.2715859096081</v>
      </c>
      <c r="E158" s="30"/>
      <c r="F158" s="18" t="s">
        <v>118</v>
      </c>
      <c r="G158">
        <v>6</v>
      </c>
      <c r="H158" s="53"/>
      <c r="I158" s="5"/>
      <c r="J158" s="16"/>
      <c r="K158" s="5"/>
    </row>
    <row r="159" spans="1:11" x14ac:dyDescent="0.25">
      <c r="A159" t="s">
        <v>16</v>
      </c>
      <c r="B159" t="s">
        <v>17</v>
      </c>
      <c r="C159" s="52">
        <v>1736</v>
      </c>
      <c r="D159" s="15">
        <v>1886.0710271960934</v>
      </c>
      <c r="E159" s="30"/>
      <c r="F159" s="18"/>
      <c r="G159">
        <v>3</v>
      </c>
      <c r="H159" s="53"/>
      <c r="I159" s="5"/>
      <c r="J159" s="16"/>
      <c r="K159" s="5"/>
    </row>
    <row r="160" spans="1:11" x14ac:dyDescent="0.25">
      <c r="A160" t="s">
        <v>81</v>
      </c>
      <c r="B160" t="s">
        <v>23</v>
      </c>
      <c r="C160" s="52">
        <v>5252</v>
      </c>
      <c r="D160" s="15">
        <v>5707.2019394375293</v>
      </c>
      <c r="E160" s="30"/>
      <c r="F160" s="18"/>
      <c r="G160">
        <v>6</v>
      </c>
      <c r="H160" s="53"/>
      <c r="I160" s="5"/>
      <c r="J160" s="16"/>
      <c r="K160" s="5"/>
    </row>
    <row r="161" spans="1:11" x14ac:dyDescent="0.25">
      <c r="A161" t="s">
        <v>12</v>
      </c>
      <c r="B161" t="s">
        <v>3</v>
      </c>
      <c r="C161" s="52">
        <v>3043</v>
      </c>
      <c r="D161" s="15">
        <v>3306.7479048243194</v>
      </c>
      <c r="E161" s="30"/>
      <c r="F161" s="18"/>
      <c r="G161">
        <v>2</v>
      </c>
      <c r="H161" s="53"/>
      <c r="I161" s="5"/>
      <c r="J161" s="16"/>
      <c r="K161" s="5"/>
    </row>
    <row r="162" spans="1:11" x14ac:dyDescent="0.25">
      <c r="A162" t="s">
        <v>35</v>
      </c>
      <c r="B162" t="s">
        <v>36</v>
      </c>
      <c r="C162" s="52">
        <v>2750</v>
      </c>
      <c r="D162" s="15">
        <v>2988.3203288042</v>
      </c>
      <c r="E162" s="30"/>
      <c r="F162" s="18"/>
      <c r="G162">
        <v>1</v>
      </c>
      <c r="H162" s="53"/>
      <c r="I162" s="5"/>
      <c r="J162" s="16"/>
      <c r="K162" s="5"/>
    </row>
    <row r="163" spans="1:11" x14ac:dyDescent="0.25">
      <c r="A163" t="s">
        <v>50</v>
      </c>
      <c r="B163" t="s">
        <v>51</v>
      </c>
      <c r="C163" s="52">
        <v>654</v>
      </c>
      <c r="D163" s="15">
        <v>710.33843881411303</v>
      </c>
      <c r="E163" s="30"/>
      <c r="F163" s="18"/>
      <c r="G163">
        <v>2</v>
      </c>
      <c r="H163" s="53"/>
      <c r="I163" s="5"/>
      <c r="J163" s="16"/>
      <c r="K163" s="5"/>
    </row>
    <row r="164" spans="1:11" x14ac:dyDescent="0.25">
      <c r="A164" t="s">
        <v>12</v>
      </c>
      <c r="B164" t="s">
        <v>13</v>
      </c>
      <c r="C164" s="52">
        <v>969</v>
      </c>
      <c r="D164" s="15">
        <v>1053.2604437588573</v>
      </c>
      <c r="E164" s="30"/>
      <c r="F164" s="18"/>
      <c r="G164">
        <v>2</v>
      </c>
      <c r="H164" s="53"/>
      <c r="I164" s="5"/>
      <c r="J164" s="16"/>
      <c r="K164" s="5"/>
    </row>
    <row r="165" spans="1:11" x14ac:dyDescent="0.25">
      <c r="A165" t="s">
        <v>60</v>
      </c>
      <c r="B165" t="s">
        <v>61</v>
      </c>
      <c r="C165" s="52">
        <v>631</v>
      </c>
      <c r="D165" s="15">
        <v>685.84400988948846</v>
      </c>
      <c r="E165" s="30"/>
      <c r="F165" s="18" t="s">
        <v>118</v>
      </c>
      <c r="G165">
        <v>1</v>
      </c>
      <c r="H165" s="53"/>
      <c r="I165" s="5"/>
      <c r="J165" s="16"/>
      <c r="K165" s="5"/>
    </row>
    <row r="166" spans="1:11" x14ac:dyDescent="0.25">
      <c r="A166" t="s">
        <v>12</v>
      </c>
      <c r="B166" t="s">
        <v>86</v>
      </c>
      <c r="C166" s="52">
        <v>654</v>
      </c>
      <c r="D166" s="15">
        <v>710.33843881411303</v>
      </c>
      <c r="E166" s="30"/>
      <c r="F166" s="18"/>
      <c r="G166">
        <v>6</v>
      </c>
      <c r="H166" s="53"/>
      <c r="I166" s="5"/>
      <c r="J166" s="16"/>
      <c r="K166" s="5"/>
    </row>
    <row r="167" spans="1:11" x14ac:dyDescent="0.25">
      <c r="A167" t="s">
        <v>2</v>
      </c>
      <c r="B167" t="s">
        <v>3</v>
      </c>
      <c r="C167" s="52">
        <v>1398</v>
      </c>
      <c r="D167" s="15">
        <v>1518.6545933267246</v>
      </c>
      <c r="E167" s="30"/>
      <c r="F167" s="18"/>
      <c r="G167">
        <v>2</v>
      </c>
      <c r="H167" s="53"/>
      <c r="I167" s="5"/>
      <c r="J167" s="16"/>
      <c r="K167" s="5"/>
    </row>
    <row r="168" spans="1:11" x14ac:dyDescent="0.25">
      <c r="A168" t="s">
        <v>66</v>
      </c>
      <c r="B168" t="s">
        <v>13</v>
      </c>
      <c r="C168" s="52">
        <v>654</v>
      </c>
      <c r="D168" s="15">
        <v>710.33843881411303</v>
      </c>
      <c r="E168" s="30"/>
      <c r="F168" s="18" t="s">
        <v>118</v>
      </c>
      <c r="G168">
        <v>4</v>
      </c>
      <c r="H168" s="53"/>
      <c r="I168" s="5"/>
      <c r="J168" s="16"/>
      <c r="K168" s="5"/>
    </row>
    <row r="169" spans="1:11" x14ac:dyDescent="0.25">
      <c r="A169" t="s">
        <v>84</v>
      </c>
      <c r="B169" t="s">
        <v>85</v>
      </c>
      <c r="C169" s="52">
        <v>1037</v>
      </c>
      <c r="D169" s="15">
        <v>1126.743730532731</v>
      </c>
      <c r="E169" s="30"/>
      <c r="F169" s="18"/>
      <c r="G169">
        <v>1</v>
      </c>
      <c r="H169" s="53"/>
      <c r="I169" s="5"/>
      <c r="J169" s="16"/>
      <c r="K169" s="5"/>
    </row>
    <row r="170" spans="1:11" x14ac:dyDescent="0.25">
      <c r="A170" t="s">
        <v>16</v>
      </c>
      <c r="B170" t="s">
        <v>17</v>
      </c>
      <c r="C170" s="52">
        <v>1127</v>
      </c>
      <c r="D170" s="15">
        <v>1224.7214462312295</v>
      </c>
      <c r="E170" s="30"/>
      <c r="F170" s="18" t="s">
        <v>118</v>
      </c>
      <c r="G170">
        <v>3</v>
      </c>
      <c r="H170" s="53"/>
      <c r="I170" s="5"/>
      <c r="J170" s="16"/>
      <c r="K170" s="5"/>
    </row>
    <row r="171" spans="1:11" x14ac:dyDescent="0.25">
      <c r="A171" t="s">
        <v>52</v>
      </c>
      <c r="B171" t="s">
        <v>53</v>
      </c>
      <c r="C171" s="52">
        <v>947</v>
      </c>
      <c r="D171" s="15">
        <v>1028.7660148342327</v>
      </c>
      <c r="E171" s="30"/>
      <c r="F171" s="18" t="s">
        <v>118</v>
      </c>
      <c r="G171">
        <v>2</v>
      </c>
      <c r="H171" s="53"/>
      <c r="I171" s="5"/>
      <c r="J171" s="16"/>
      <c r="K171" s="5"/>
    </row>
    <row r="172" spans="1:11" x14ac:dyDescent="0.25">
      <c r="A172" t="s">
        <v>16</v>
      </c>
      <c r="B172" t="s">
        <v>17</v>
      </c>
      <c r="C172" s="52">
        <v>3043</v>
      </c>
      <c r="D172" s="15">
        <v>3306.7479048243194</v>
      </c>
      <c r="E172" s="30"/>
      <c r="F172" s="18" t="s">
        <v>118</v>
      </c>
      <c r="G172">
        <v>6</v>
      </c>
      <c r="H172" s="53"/>
      <c r="I172" s="5"/>
      <c r="J172" s="16"/>
      <c r="K172" s="5"/>
    </row>
    <row r="173" spans="1:11" x14ac:dyDescent="0.25">
      <c r="A173" t="s">
        <v>29</v>
      </c>
      <c r="B173" t="s">
        <v>30</v>
      </c>
      <c r="C173" s="52">
        <v>766</v>
      </c>
      <c r="D173" s="15">
        <v>832.81058343723601</v>
      </c>
      <c r="E173" s="30"/>
      <c r="F173" s="18" t="s">
        <v>118</v>
      </c>
      <c r="G173">
        <v>5</v>
      </c>
      <c r="H173" s="53"/>
      <c r="I173" s="5"/>
      <c r="J173" s="16"/>
      <c r="K173" s="5"/>
    </row>
    <row r="174" spans="1:11" x14ac:dyDescent="0.25">
      <c r="A174" t="s">
        <v>39</v>
      </c>
      <c r="B174" t="s">
        <v>30</v>
      </c>
      <c r="C174" s="52">
        <v>969</v>
      </c>
      <c r="D174" s="15">
        <v>1053.2604437588573</v>
      </c>
      <c r="E174" s="30"/>
      <c r="F174" s="18" t="s">
        <v>118</v>
      </c>
      <c r="G174">
        <v>5</v>
      </c>
      <c r="H174" s="53"/>
      <c r="I174" s="5"/>
      <c r="J174" s="16"/>
      <c r="K174" s="5"/>
    </row>
    <row r="175" spans="1:11" x14ac:dyDescent="0.25">
      <c r="A175" t="s">
        <v>40</v>
      </c>
      <c r="B175" t="s">
        <v>41</v>
      </c>
      <c r="C175" s="52">
        <v>857</v>
      </c>
      <c r="D175" s="15">
        <v>930.78829913573441</v>
      </c>
      <c r="E175" s="30"/>
      <c r="F175" s="18" t="s">
        <v>118</v>
      </c>
      <c r="G175">
        <v>6</v>
      </c>
      <c r="H175" s="53"/>
      <c r="I175" s="5"/>
      <c r="J175" s="16"/>
      <c r="K175" s="5"/>
    </row>
    <row r="176" spans="1:11" x14ac:dyDescent="0.25">
      <c r="A176" t="s">
        <v>6</v>
      </c>
      <c r="B176" t="s">
        <v>7</v>
      </c>
      <c r="C176" s="52">
        <v>969</v>
      </c>
      <c r="D176" s="15">
        <v>1053.2604437588573</v>
      </c>
      <c r="E176" s="30"/>
      <c r="F176" s="18"/>
      <c r="G176">
        <v>1</v>
      </c>
      <c r="H176" s="53"/>
      <c r="I176" s="5"/>
      <c r="J176" s="16"/>
      <c r="K176" s="5"/>
    </row>
    <row r="177" spans="1:11" x14ac:dyDescent="0.25">
      <c r="A177" t="s">
        <v>10</v>
      </c>
      <c r="B177" t="s">
        <v>11</v>
      </c>
      <c r="C177" s="52">
        <v>654</v>
      </c>
      <c r="D177" s="15">
        <v>710.33843881411303</v>
      </c>
      <c r="E177" s="30"/>
      <c r="F177" s="18" t="s">
        <v>118</v>
      </c>
      <c r="G177">
        <v>2</v>
      </c>
      <c r="H177" s="53"/>
      <c r="I177" s="5"/>
      <c r="J177" s="16"/>
      <c r="K177" s="5"/>
    </row>
    <row r="178" spans="1:11" x14ac:dyDescent="0.25">
      <c r="A178" t="s">
        <v>12</v>
      </c>
      <c r="B178" t="s">
        <v>24</v>
      </c>
      <c r="C178" s="52">
        <v>654</v>
      </c>
      <c r="D178" s="15">
        <v>710.33843881411303</v>
      </c>
      <c r="E178" s="30"/>
      <c r="F178" s="18" t="s">
        <v>118</v>
      </c>
      <c r="G178">
        <v>5</v>
      </c>
      <c r="H178" s="53"/>
      <c r="I178" s="5"/>
      <c r="J178" s="16"/>
      <c r="K178" s="5"/>
    </row>
    <row r="179" spans="1:11" x14ac:dyDescent="0.25">
      <c r="A179" t="s">
        <v>4</v>
      </c>
      <c r="B179" t="s">
        <v>5</v>
      </c>
      <c r="C179" s="52">
        <v>2750</v>
      </c>
      <c r="D179" s="15">
        <v>2988.3203288042</v>
      </c>
      <c r="E179" s="30"/>
      <c r="F179" s="18" t="s">
        <v>118</v>
      </c>
      <c r="G179">
        <v>3</v>
      </c>
      <c r="H179" s="53"/>
      <c r="I179" s="5"/>
      <c r="J179" s="16"/>
      <c r="K179" s="5"/>
    </row>
    <row r="180" spans="1:11" x14ac:dyDescent="0.25">
      <c r="A180" t="s">
        <v>8</v>
      </c>
      <c r="B180" t="s">
        <v>9</v>
      </c>
      <c r="C180" s="52">
        <v>766</v>
      </c>
      <c r="D180" s="15">
        <v>832.81058343723601</v>
      </c>
      <c r="E180" s="30"/>
      <c r="F180" s="18"/>
      <c r="G180">
        <v>4</v>
      </c>
      <c r="H180" s="53"/>
      <c r="I180" s="5"/>
      <c r="J180" s="16"/>
      <c r="K180" s="5"/>
    </row>
    <row r="181" spans="1:11" x14ac:dyDescent="0.25">
      <c r="A181" t="s">
        <v>71</v>
      </c>
      <c r="B181" t="s">
        <v>72</v>
      </c>
      <c r="C181" s="52">
        <v>857</v>
      </c>
      <c r="D181" s="15">
        <v>930.78829913573441</v>
      </c>
      <c r="E181" s="30"/>
      <c r="F181" s="18"/>
      <c r="G181">
        <v>5</v>
      </c>
      <c r="H181" s="53"/>
      <c r="I181" s="5"/>
      <c r="J181" s="16"/>
      <c r="K181" s="5"/>
    </row>
    <row r="182" spans="1:11" x14ac:dyDescent="0.25">
      <c r="A182" t="s">
        <v>46</v>
      </c>
      <c r="B182" t="s">
        <v>47</v>
      </c>
      <c r="C182" s="52">
        <v>924</v>
      </c>
      <c r="D182" s="15">
        <v>1004.2715859096081</v>
      </c>
      <c r="E182" s="30"/>
      <c r="F182" s="18" t="s">
        <v>118</v>
      </c>
      <c r="G182">
        <v>3</v>
      </c>
      <c r="H182" s="53"/>
      <c r="I182" s="5"/>
      <c r="J182" s="16"/>
      <c r="K182" s="5"/>
    </row>
    <row r="183" spans="1:11" x14ac:dyDescent="0.25">
      <c r="A183" t="s">
        <v>12</v>
      </c>
      <c r="B183" t="s">
        <v>3</v>
      </c>
      <c r="C183" s="52">
        <v>857</v>
      </c>
      <c r="D183" s="15">
        <v>930.78829913573441</v>
      </c>
      <c r="E183" s="30"/>
      <c r="F183" s="18"/>
      <c r="G183">
        <v>1</v>
      </c>
      <c r="H183" s="53"/>
      <c r="I183" s="5"/>
      <c r="J183" s="16"/>
      <c r="K183" s="5"/>
    </row>
    <row r="184" spans="1:11" x14ac:dyDescent="0.25">
      <c r="A184" t="s">
        <v>48</v>
      </c>
      <c r="B184" t="s">
        <v>49</v>
      </c>
      <c r="C184" s="52">
        <v>654</v>
      </c>
      <c r="D184" s="15">
        <v>710.33843881411303</v>
      </c>
      <c r="E184" s="30"/>
      <c r="F184" s="18" t="s">
        <v>118</v>
      </c>
      <c r="G184">
        <v>4</v>
      </c>
      <c r="H184" s="53"/>
      <c r="I184" s="5"/>
      <c r="J184" s="16"/>
      <c r="K184" s="5"/>
    </row>
    <row r="185" spans="1:11" x14ac:dyDescent="0.25">
      <c r="A185" t="s">
        <v>71</v>
      </c>
      <c r="B185" t="s">
        <v>72</v>
      </c>
      <c r="C185" s="52">
        <v>857</v>
      </c>
      <c r="D185" s="15">
        <v>930.78829913573441</v>
      </c>
      <c r="E185" s="30"/>
      <c r="F185" s="18" t="s">
        <v>118</v>
      </c>
      <c r="G185">
        <v>3</v>
      </c>
      <c r="H185" s="53"/>
      <c r="I185" s="5"/>
      <c r="J185" s="16"/>
      <c r="K185" s="5"/>
    </row>
    <row r="186" spans="1:11" x14ac:dyDescent="0.25">
      <c r="A186" t="s">
        <v>71</v>
      </c>
      <c r="B186" t="s">
        <v>72</v>
      </c>
      <c r="C186" s="52">
        <v>654</v>
      </c>
      <c r="D186" s="15">
        <v>710.33843881411303</v>
      </c>
      <c r="E186" s="30"/>
      <c r="F186" s="18"/>
      <c r="G186">
        <v>4</v>
      </c>
      <c r="H186" s="53"/>
      <c r="I186" s="5"/>
      <c r="J186" s="16"/>
      <c r="K186" s="5"/>
    </row>
    <row r="187" spans="1:11" x14ac:dyDescent="0.25">
      <c r="A187" t="s">
        <v>10</v>
      </c>
      <c r="B187" t="s">
        <v>11</v>
      </c>
      <c r="C187" s="52">
        <v>1014</v>
      </c>
      <c r="D187" s="15">
        <v>1102.2493016081064</v>
      </c>
      <c r="E187" s="30"/>
      <c r="F187" s="18" t="s">
        <v>118</v>
      </c>
      <c r="G187">
        <v>3</v>
      </c>
      <c r="H187" s="53"/>
      <c r="I187" s="5"/>
      <c r="J187" s="16"/>
      <c r="K187" s="5"/>
    </row>
    <row r="188" spans="1:11" x14ac:dyDescent="0.25">
      <c r="A188" t="s">
        <v>16</v>
      </c>
      <c r="B188" t="s">
        <v>17</v>
      </c>
      <c r="C188" s="52">
        <v>969</v>
      </c>
      <c r="D188" s="15">
        <v>1053.2604437588573</v>
      </c>
      <c r="E188" s="30"/>
      <c r="F188" s="18"/>
      <c r="G188">
        <v>5</v>
      </c>
      <c r="H188" s="53"/>
      <c r="I188" s="5"/>
      <c r="J188" s="16"/>
      <c r="K188" s="5"/>
    </row>
    <row r="189" spans="1:11" x14ac:dyDescent="0.25">
      <c r="A189" t="s">
        <v>52</v>
      </c>
      <c r="B189" t="s">
        <v>53</v>
      </c>
      <c r="C189" s="52">
        <v>857</v>
      </c>
      <c r="D189" s="15">
        <v>930.78829913573441</v>
      </c>
      <c r="E189" s="30"/>
      <c r="F189" s="18"/>
      <c r="G189">
        <v>5</v>
      </c>
      <c r="H189" s="53"/>
      <c r="I189" s="5"/>
      <c r="J189" s="16"/>
      <c r="K189" s="5"/>
    </row>
    <row r="190" spans="1:11" x14ac:dyDescent="0.25">
      <c r="A190" t="s">
        <v>50</v>
      </c>
      <c r="B190" t="s">
        <v>51</v>
      </c>
      <c r="C190" s="52">
        <v>654</v>
      </c>
      <c r="D190" s="15">
        <v>710.33843881411303</v>
      </c>
      <c r="E190" s="30"/>
      <c r="F190" s="18" t="s">
        <v>118</v>
      </c>
      <c r="G190">
        <v>1</v>
      </c>
      <c r="H190" s="53"/>
      <c r="I190" s="5"/>
      <c r="J190" s="16"/>
      <c r="K190" s="5"/>
    </row>
    <row r="191" spans="1:11" x14ac:dyDescent="0.25">
      <c r="A191" t="s">
        <v>48</v>
      </c>
      <c r="B191" t="s">
        <v>49</v>
      </c>
      <c r="C191" s="52">
        <v>857</v>
      </c>
      <c r="D191" s="15">
        <v>930.78829913573441</v>
      </c>
      <c r="E191" s="30"/>
      <c r="F191" s="18"/>
      <c r="G191">
        <v>6</v>
      </c>
      <c r="H191" s="53"/>
      <c r="I191" s="5"/>
      <c r="J191" s="16"/>
      <c r="K191" s="5"/>
    </row>
    <row r="192" spans="1:11" x14ac:dyDescent="0.25">
      <c r="A192" t="s">
        <v>12</v>
      </c>
      <c r="B192" t="s">
        <v>3</v>
      </c>
      <c r="C192" s="52">
        <v>766</v>
      </c>
      <c r="D192" s="15">
        <v>832.81058343723601</v>
      </c>
      <c r="E192" s="30"/>
      <c r="F192" s="18"/>
      <c r="G192">
        <v>5</v>
      </c>
      <c r="H192" s="53"/>
      <c r="I192" s="5"/>
      <c r="J192" s="16"/>
      <c r="K192" s="5"/>
    </row>
    <row r="193" spans="1:11" x14ac:dyDescent="0.25">
      <c r="A193" t="s">
        <v>12</v>
      </c>
      <c r="B193" t="s">
        <v>3</v>
      </c>
      <c r="C193" s="52">
        <v>924</v>
      </c>
      <c r="D193" s="15">
        <v>1004.2715859096081</v>
      </c>
      <c r="E193" s="30"/>
      <c r="F193" s="18"/>
      <c r="G193">
        <v>6</v>
      </c>
      <c r="H193" s="53"/>
      <c r="I193" s="5"/>
      <c r="J193" s="16"/>
      <c r="K193" s="5"/>
    </row>
    <row r="194" spans="1:11" x14ac:dyDescent="0.25">
      <c r="A194" t="s">
        <v>56</v>
      </c>
      <c r="B194" t="s">
        <v>57</v>
      </c>
      <c r="C194" s="52">
        <v>654</v>
      </c>
      <c r="D194" s="15">
        <v>710.33843881411303</v>
      </c>
      <c r="E194" s="30"/>
      <c r="F194" s="18"/>
      <c r="G194">
        <v>4</v>
      </c>
      <c r="H194" s="53"/>
      <c r="I194" s="5"/>
      <c r="J194" s="16"/>
      <c r="K194" s="5"/>
    </row>
    <row r="195" spans="1:11" x14ac:dyDescent="0.25">
      <c r="A195" t="s">
        <v>27</v>
      </c>
      <c r="B195" t="s">
        <v>28</v>
      </c>
      <c r="C195" s="52">
        <v>4508</v>
      </c>
      <c r="D195" s="15">
        <v>4898.885784924918</v>
      </c>
      <c r="E195" s="30"/>
      <c r="F195" s="18" t="s">
        <v>118</v>
      </c>
      <c r="G195">
        <v>1</v>
      </c>
      <c r="H195" s="53"/>
      <c r="I195" s="5"/>
      <c r="J195" s="16"/>
      <c r="K195" s="5"/>
    </row>
    <row r="196" spans="1:11" x14ac:dyDescent="0.25">
      <c r="A196" t="s">
        <v>16</v>
      </c>
      <c r="B196" t="s">
        <v>17</v>
      </c>
      <c r="C196" s="52">
        <v>1398</v>
      </c>
      <c r="D196" s="15">
        <v>1518.6545933267246</v>
      </c>
      <c r="E196" s="30"/>
      <c r="F196" s="18" t="s">
        <v>118</v>
      </c>
      <c r="G196">
        <v>3</v>
      </c>
      <c r="H196" s="53"/>
      <c r="I196" s="5"/>
      <c r="J196" s="16"/>
      <c r="K196" s="5"/>
    </row>
    <row r="197" spans="1:11" x14ac:dyDescent="0.25">
      <c r="A197" t="s">
        <v>48</v>
      </c>
      <c r="B197" t="s">
        <v>49</v>
      </c>
      <c r="C197" s="52">
        <v>654</v>
      </c>
      <c r="D197" s="15">
        <v>710.33843881411303</v>
      </c>
      <c r="E197" s="30"/>
      <c r="F197" s="18"/>
      <c r="G197">
        <v>2</v>
      </c>
      <c r="H197" s="53"/>
      <c r="I197" s="5"/>
      <c r="J197" s="16"/>
      <c r="K197" s="5"/>
    </row>
    <row r="198" spans="1:11" x14ac:dyDescent="0.25">
      <c r="A198" t="s">
        <v>29</v>
      </c>
      <c r="B198" t="s">
        <v>30</v>
      </c>
      <c r="C198" s="52">
        <v>3471</v>
      </c>
      <c r="D198" s="15">
        <v>3772.1420543921868</v>
      </c>
      <c r="E198" s="30"/>
      <c r="F198" s="18" t="s">
        <v>118</v>
      </c>
      <c r="G198">
        <v>1</v>
      </c>
      <c r="H198" s="53"/>
      <c r="I198" s="5"/>
      <c r="J198" s="16"/>
      <c r="K198" s="5"/>
    </row>
    <row r="199" spans="1:11" x14ac:dyDescent="0.25">
      <c r="A199" t="s">
        <v>26</v>
      </c>
      <c r="B199" t="s">
        <v>9</v>
      </c>
      <c r="C199" s="52">
        <v>969</v>
      </c>
      <c r="D199" s="15">
        <v>1053.2604437588573</v>
      </c>
      <c r="E199" s="30"/>
      <c r="F199" s="18"/>
      <c r="G199">
        <v>6</v>
      </c>
      <c r="H199" s="53"/>
      <c r="I199" s="5"/>
      <c r="J199" s="16"/>
      <c r="K199" s="5"/>
    </row>
    <row r="200" spans="1:11" x14ac:dyDescent="0.25">
      <c r="A200" t="s">
        <v>84</v>
      </c>
      <c r="B200" t="s">
        <v>85</v>
      </c>
      <c r="C200" s="52">
        <v>969</v>
      </c>
      <c r="D200" s="15">
        <v>1053.2604437588573</v>
      </c>
      <c r="E200" s="30"/>
      <c r="F200" s="18"/>
      <c r="G200">
        <v>3</v>
      </c>
      <c r="H200" s="53"/>
      <c r="I200" s="5"/>
      <c r="J200" s="16"/>
      <c r="K200" s="5"/>
    </row>
    <row r="201" spans="1:11" x14ac:dyDescent="0.25">
      <c r="A201" t="s">
        <v>29</v>
      </c>
      <c r="B201" t="s">
        <v>30</v>
      </c>
      <c r="C201" s="52">
        <v>3043</v>
      </c>
      <c r="D201" s="15">
        <v>3306.7479048243194</v>
      </c>
      <c r="E201" s="30"/>
      <c r="F201" s="18"/>
      <c r="G201">
        <v>6</v>
      </c>
      <c r="H201" s="53"/>
      <c r="I201" s="5"/>
      <c r="J201" s="16"/>
      <c r="K201" s="5"/>
    </row>
    <row r="202" spans="1:11" x14ac:dyDescent="0.25">
      <c r="A202" t="s">
        <v>8</v>
      </c>
      <c r="B202" t="s">
        <v>9</v>
      </c>
      <c r="C202" s="52">
        <v>654</v>
      </c>
      <c r="D202" s="15">
        <v>710.33843881411303</v>
      </c>
      <c r="E202" s="30"/>
      <c r="F202" s="18"/>
      <c r="G202">
        <v>6</v>
      </c>
      <c r="H202" s="53"/>
      <c r="I202" s="5"/>
      <c r="J202" s="16"/>
      <c r="K202" s="5"/>
    </row>
    <row r="203" spans="1:11" x14ac:dyDescent="0.25">
      <c r="A203" t="s">
        <v>64</v>
      </c>
      <c r="B203" t="s">
        <v>65</v>
      </c>
      <c r="C203" s="52">
        <v>1037</v>
      </c>
      <c r="D203" s="15">
        <v>1126.743730532731</v>
      </c>
      <c r="E203" s="30"/>
      <c r="F203" s="18"/>
      <c r="G203">
        <v>1</v>
      </c>
      <c r="H203" s="53"/>
      <c r="I203" s="5"/>
      <c r="J203" s="16"/>
      <c r="K203" s="5"/>
    </row>
    <row r="204" spans="1:11" x14ac:dyDescent="0.25">
      <c r="A204" t="s">
        <v>16</v>
      </c>
      <c r="B204" t="s">
        <v>17</v>
      </c>
      <c r="C204" s="52">
        <v>5252</v>
      </c>
      <c r="D204" s="15">
        <v>5707.2019394375293</v>
      </c>
      <c r="E204" s="30"/>
      <c r="F204" s="18"/>
      <c r="G204">
        <v>4</v>
      </c>
      <c r="H204" s="53"/>
      <c r="I204" s="5"/>
      <c r="J204" s="16"/>
      <c r="K204" s="5"/>
    </row>
    <row r="205" spans="1:11" x14ac:dyDescent="0.25">
      <c r="A205" t="s">
        <v>16</v>
      </c>
      <c r="B205" t="s">
        <v>17</v>
      </c>
      <c r="C205" s="52">
        <v>654</v>
      </c>
      <c r="D205" s="15">
        <v>710.33843881411303</v>
      </c>
      <c r="E205" s="30"/>
      <c r="F205" s="18"/>
      <c r="G205">
        <v>2</v>
      </c>
      <c r="H205" s="53"/>
      <c r="I205" s="5"/>
      <c r="J205" s="16"/>
      <c r="K205" s="5"/>
    </row>
    <row r="206" spans="1:11" x14ac:dyDescent="0.25">
      <c r="A206" t="s">
        <v>73</v>
      </c>
      <c r="B206" t="s">
        <v>74</v>
      </c>
      <c r="C206" s="52">
        <v>947</v>
      </c>
      <c r="D206" s="15">
        <v>1028.7660148342327</v>
      </c>
      <c r="E206" s="30"/>
      <c r="F206" s="18" t="s">
        <v>118</v>
      </c>
      <c r="G206">
        <v>2</v>
      </c>
      <c r="H206" s="53"/>
      <c r="I206" s="5"/>
      <c r="J206" s="16"/>
      <c r="K206" s="5"/>
    </row>
    <row r="207" spans="1:11" x14ac:dyDescent="0.25">
      <c r="A207" t="s">
        <v>27</v>
      </c>
      <c r="B207" t="s">
        <v>28</v>
      </c>
      <c r="C207" s="52">
        <v>654</v>
      </c>
      <c r="D207" s="15">
        <v>710.33843881411303</v>
      </c>
      <c r="E207" s="30"/>
      <c r="F207" s="18" t="s">
        <v>118</v>
      </c>
      <c r="G207">
        <v>4</v>
      </c>
      <c r="H207" s="53"/>
      <c r="I207" s="5"/>
      <c r="J207" s="16"/>
      <c r="K207" s="5"/>
    </row>
    <row r="208" spans="1:11" x14ac:dyDescent="0.25">
      <c r="A208" t="s">
        <v>35</v>
      </c>
      <c r="B208" t="s">
        <v>36</v>
      </c>
      <c r="C208" s="52">
        <v>766</v>
      </c>
      <c r="D208" s="15">
        <v>832.81058343723601</v>
      </c>
      <c r="E208" s="30"/>
      <c r="F208" s="18"/>
      <c r="G208">
        <v>3</v>
      </c>
      <c r="H208" s="53"/>
      <c r="I208" s="5"/>
      <c r="J208" s="16"/>
      <c r="K208" s="5"/>
    </row>
    <row r="209" spans="1:11" x14ac:dyDescent="0.25">
      <c r="A209" t="s">
        <v>12</v>
      </c>
      <c r="B209" t="s">
        <v>13</v>
      </c>
      <c r="C209" s="52">
        <v>1555</v>
      </c>
      <c r="D209" s="15">
        <v>1690.1155957990966</v>
      </c>
      <c r="E209" s="30"/>
      <c r="F209" s="18" t="s">
        <v>118</v>
      </c>
      <c r="G209">
        <v>1</v>
      </c>
      <c r="H209" s="53"/>
      <c r="I209" s="5"/>
      <c r="J209" s="16"/>
      <c r="K209" s="5"/>
    </row>
    <row r="210" spans="1:11" x14ac:dyDescent="0.25">
      <c r="A210" t="s">
        <v>18</v>
      </c>
      <c r="B210" t="s">
        <v>19</v>
      </c>
      <c r="C210" s="52">
        <v>1127</v>
      </c>
      <c r="D210" s="15">
        <v>1224.7214462312295</v>
      </c>
      <c r="E210" s="30"/>
      <c r="F210" s="18"/>
      <c r="G210">
        <v>6</v>
      </c>
      <c r="H210" s="53"/>
      <c r="I210" s="5"/>
      <c r="J210" s="16"/>
      <c r="K210" s="5"/>
    </row>
    <row r="211" spans="1:11" x14ac:dyDescent="0.25">
      <c r="A211" t="s">
        <v>14</v>
      </c>
      <c r="B211" t="s">
        <v>15</v>
      </c>
      <c r="C211" s="52">
        <v>2750</v>
      </c>
      <c r="D211" s="15">
        <v>2988.3203288042</v>
      </c>
      <c r="E211" s="30"/>
      <c r="F211" s="18" t="s">
        <v>118</v>
      </c>
      <c r="G211">
        <v>4</v>
      </c>
      <c r="H211" s="53"/>
      <c r="I211" s="5"/>
      <c r="J211" s="16"/>
      <c r="K211" s="5"/>
    </row>
    <row r="212" spans="1:11" x14ac:dyDescent="0.25">
      <c r="A212" t="s">
        <v>75</v>
      </c>
      <c r="B212" t="s">
        <v>21</v>
      </c>
      <c r="C212" s="52">
        <v>969</v>
      </c>
      <c r="D212" s="15">
        <v>1053.2604437588573</v>
      </c>
      <c r="E212" s="30"/>
      <c r="F212" s="18"/>
      <c r="G212">
        <v>4</v>
      </c>
      <c r="H212" s="53"/>
      <c r="I212" s="5"/>
      <c r="J212" s="16"/>
      <c r="K212" s="5"/>
    </row>
    <row r="213" spans="1:11" x14ac:dyDescent="0.25">
      <c r="A213" t="s">
        <v>12</v>
      </c>
      <c r="B213" t="s">
        <v>3</v>
      </c>
      <c r="C213" s="52">
        <v>766</v>
      </c>
      <c r="D213" s="15">
        <v>832.81058343723601</v>
      </c>
      <c r="E213" s="30"/>
      <c r="F213" s="18" t="s">
        <v>118</v>
      </c>
      <c r="G213">
        <v>3</v>
      </c>
      <c r="H213" s="53"/>
      <c r="I213" s="5"/>
      <c r="J213" s="16"/>
      <c r="K213" s="5"/>
    </row>
    <row r="214" spans="1:11" x14ac:dyDescent="0.25">
      <c r="A214" t="s">
        <v>12</v>
      </c>
      <c r="B214" t="s">
        <v>24</v>
      </c>
      <c r="C214" s="52">
        <v>654</v>
      </c>
      <c r="D214" s="15">
        <v>710.33843881411303</v>
      </c>
      <c r="E214" s="30"/>
      <c r="F214" s="18"/>
      <c r="G214">
        <v>5</v>
      </c>
      <c r="H214" s="53"/>
      <c r="I214" s="5"/>
      <c r="J214" s="16"/>
      <c r="K214" s="5"/>
    </row>
    <row r="215" spans="1:11" x14ac:dyDescent="0.25">
      <c r="A215" t="s">
        <v>42</v>
      </c>
      <c r="B215" t="s">
        <v>43</v>
      </c>
      <c r="C215" s="52">
        <v>1037</v>
      </c>
      <c r="D215" s="15">
        <v>1126.743730532731</v>
      </c>
      <c r="E215" s="30"/>
      <c r="F215" s="18"/>
      <c r="G215">
        <v>2</v>
      </c>
      <c r="H215" s="53"/>
      <c r="I215" s="5"/>
      <c r="J215" s="16"/>
      <c r="K215" s="5"/>
    </row>
    <row r="216" spans="1:11" x14ac:dyDescent="0.25">
      <c r="A216" t="s">
        <v>31</v>
      </c>
      <c r="B216" t="s">
        <v>32</v>
      </c>
      <c r="C216" s="52">
        <v>969</v>
      </c>
      <c r="D216" s="15">
        <v>1053.2604437588573</v>
      </c>
      <c r="E216" s="30"/>
      <c r="F216" s="18" t="s">
        <v>118</v>
      </c>
      <c r="G216">
        <v>6</v>
      </c>
      <c r="H216" s="53"/>
      <c r="I216" s="5"/>
      <c r="J216" s="16"/>
      <c r="K216" s="5"/>
    </row>
    <row r="217" spans="1:11" x14ac:dyDescent="0.25">
      <c r="A217" t="s">
        <v>20</v>
      </c>
      <c r="B217" t="s">
        <v>21</v>
      </c>
      <c r="C217" s="52">
        <v>654</v>
      </c>
      <c r="D217" s="15">
        <v>710.33843881411303</v>
      </c>
      <c r="E217" s="30"/>
      <c r="F217" s="18" t="s">
        <v>118</v>
      </c>
      <c r="G217">
        <v>3</v>
      </c>
      <c r="H217" s="53"/>
      <c r="I217" s="5"/>
      <c r="J217" s="16"/>
      <c r="K217" s="5"/>
    </row>
    <row r="218" spans="1:11" x14ac:dyDescent="0.25">
      <c r="A218" t="s">
        <v>66</v>
      </c>
      <c r="B218" t="s">
        <v>13</v>
      </c>
      <c r="C218" s="52">
        <v>654</v>
      </c>
      <c r="D218" s="15">
        <v>710.33843881411303</v>
      </c>
      <c r="E218" s="30"/>
      <c r="F218" s="18"/>
      <c r="G218">
        <v>2</v>
      </c>
      <c r="H218" s="53"/>
      <c r="I218" s="5"/>
      <c r="J218" s="16"/>
      <c r="K218" s="5"/>
    </row>
    <row r="219" spans="1:11" x14ac:dyDescent="0.25">
      <c r="A219" t="s">
        <v>37</v>
      </c>
      <c r="B219" t="s">
        <v>38</v>
      </c>
      <c r="C219" s="52">
        <v>3043</v>
      </c>
      <c r="D219" s="15">
        <v>3306.7479048243194</v>
      </c>
      <c r="E219" s="30"/>
      <c r="F219" s="18"/>
      <c r="G219">
        <v>2</v>
      </c>
      <c r="H219" s="53"/>
      <c r="I219" s="5"/>
      <c r="J219" s="16"/>
      <c r="K219" s="5"/>
    </row>
    <row r="220" spans="1:11" x14ac:dyDescent="0.25">
      <c r="A220" t="s">
        <v>31</v>
      </c>
      <c r="B220" t="s">
        <v>32</v>
      </c>
      <c r="C220" s="52">
        <v>1736</v>
      </c>
      <c r="D220" s="15">
        <v>1886.0710271960934</v>
      </c>
      <c r="E220" s="30"/>
      <c r="F220" s="18" t="s">
        <v>118</v>
      </c>
      <c r="G220">
        <v>3</v>
      </c>
      <c r="H220" s="53"/>
      <c r="I220" s="5"/>
      <c r="J220" s="16"/>
      <c r="K220" s="5"/>
    </row>
    <row r="221" spans="1:11" x14ac:dyDescent="0.25">
      <c r="A221" t="s">
        <v>76</v>
      </c>
      <c r="B221" t="s">
        <v>77</v>
      </c>
      <c r="C221" s="52">
        <v>654</v>
      </c>
      <c r="D221" s="15">
        <v>710.33843881411303</v>
      </c>
      <c r="E221" s="30"/>
      <c r="F221" s="18" t="s">
        <v>118</v>
      </c>
      <c r="G221">
        <v>2</v>
      </c>
      <c r="H221" s="53"/>
      <c r="I221" s="5"/>
      <c r="J221" s="16"/>
      <c r="K221" s="5"/>
    </row>
    <row r="222" spans="1:11" x14ac:dyDescent="0.25">
      <c r="A222" t="s">
        <v>16</v>
      </c>
      <c r="B222" t="s">
        <v>17</v>
      </c>
      <c r="C222" s="52">
        <v>1127</v>
      </c>
      <c r="D222" s="15">
        <v>1224.7214462312295</v>
      </c>
      <c r="E222" s="30"/>
      <c r="F222" s="18"/>
      <c r="G222">
        <v>2</v>
      </c>
      <c r="H222" s="53"/>
      <c r="I222" s="5"/>
      <c r="J222" s="16"/>
      <c r="K222" s="5"/>
    </row>
    <row r="223" spans="1:11" x14ac:dyDescent="0.25">
      <c r="A223" t="s">
        <v>79</v>
      </c>
      <c r="B223" t="s">
        <v>47</v>
      </c>
      <c r="C223" s="52">
        <v>924</v>
      </c>
      <c r="D223" s="15">
        <v>1004.2715859096081</v>
      </c>
      <c r="E223" s="30"/>
      <c r="F223" s="18"/>
      <c r="G223">
        <v>6</v>
      </c>
      <c r="H223" s="53"/>
      <c r="I223" s="5"/>
      <c r="J223" s="16"/>
      <c r="K223" s="5"/>
    </row>
    <row r="224" spans="1:11" x14ac:dyDescent="0.25">
      <c r="A224" t="s">
        <v>27</v>
      </c>
      <c r="B224" t="s">
        <v>28</v>
      </c>
      <c r="C224" s="52">
        <v>766</v>
      </c>
      <c r="D224" s="15">
        <v>832.81058343723601</v>
      </c>
      <c r="E224" s="30"/>
      <c r="F224" s="18" t="s">
        <v>118</v>
      </c>
      <c r="G224">
        <v>1</v>
      </c>
      <c r="H224" s="53"/>
      <c r="I224" s="5"/>
      <c r="J224" s="16"/>
      <c r="K224" s="5"/>
    </row>
    <row r="225" spans="1:11" x14ac:dyDescent="0.25">
      <c r="A225" t="s">
        <v>12</v>
      </c>
      <c r="B225" t="s">
        <v>24</v>
      </c>
      <c r="C225" s="52">
        <v>631</v>
      </c>
      <c r="D225" s="15">
        <v>685.84400988948846</v>
      </c>
      <c r="E225" s="30"/>
      <c r="F225" s="18" t="s">
        <v>118</v>
      </c>
      <c r="G225">
        <v>5</v>
      </c>
      <c r="H225" s="53"/>
      <c r="I225" s="5"/>
      <c r="J225" s="16"/>
      <c r="K225" s="5"/>
    </row>
    <row r="226" spans="1:11" x14ac:dyDescent="0.25">
      <c r="A226" t="s">
        <v>78</v>
      </c>
      <c r="B226" t="s">
        <v>63</v>
      </c>
      <c r="C226" s="52">
        <v>2750</v>
      </c>
      <c r="D226" s="15">
        <v>2988.3203288042</v>
      </c>
      <c r="E226" s="30"/>
      <c r="F226" s="18"/>
      <c r="G226">
        <v>6</v>
      </c>
      <c r="H226" s="53"/>
      <c r="I226" s="5"/>
      <c r="J226" s="16"/>
      <c r="K226" s="5"/>
    </row>
    <row r="227" spans="1:11" x14ac:dyDescent="0.25">
      <c r="A227" t="s">
        <v>29</v>
      </c>
      <c r="B227" t="s">
        <v>9</v>
      </c>
      <c r="C227" s="52">
        <v>857</v>
      </c>
      <c r="D227" s="15">
        <v>930.78829913573441</v>
      </c>
      <c r="E227" s="30"/>
      <c r="F227" s="18"/>
      <c r="G227">
        <v>2</v>
      </c>
      <c r="H227" s="53"/>
      <c r="I227" s="5"/>
      <c r="J227" s="16"/>
      <c r="K227" s="5"/>
    </row>
    <row r="228" spans="1:11" x14ac:dyDescent="0.25">
      <c r="A228" t="s">
        <v>2</v>
      </c>
      <c r="B228" t="s">
        <v>3</v>
      </c>
      <c r="C228" s="52">
        <v>631</v>
      </c>
      <c r="D228" s="15">
        <v>685.84400988948846</v>
      </c>
      <c r="E228" s="30"/>
      <c r="F228" s="18" t="s">
        <v>118</v>
      </c>
      <c r="G228">
        <v>5</v>
      </c>
      <c r="H228" s="53"/>
      <c r="I228" s="5"/>
      <c r="J228" s="16"/>
      <c r="K228" s="5"/>
    </row>
    <row r="229" spans="1:11" x14ac:dyDescent="0.25">
      <c r="A229" t="s">
        <v>29</v>
      </c>
      <c r="B229" t="s">
        <v>9</v>
      </c>
      <c r="C229" s="52">
        <v>969</v>
      </c>
      <c r="D229" s="15">
        <v>1053.2604437588573</v>
      </c>
      <c r="E229" s="30"/>
      <c r="F229" s="18"/>
      <c r="G229">
        <v>4</v>
      </c>
      <c r="H229" s="53"/>
      <c r="I229" s="5"/>
      <c r="J229" s="16"/>
      <c r="K229" s="5"/>
    </row>
    <row r="230" spans="1:11" x14ac:dyDescent="0.25">
      <c r="A230" t="s">
        <v>2</v>
      </c>
      <c r="B230" t="s">
        <v>3</v>
      </c>
      <c r="C230" s="52">
        <v>631</v>
      </c>
      <c r="D230" s="15">
        <v>685.84400988948846</v>
      </c>
      <c r="E230" s="30"/>
      <c r="F230" s="18" t="s">
        <v>118</v>
      </c>
      <c r="G230">
        <v>2</v>
      </c>
      <c r="H230" s="53"/>
      <c r="I230" s="5"/>
      <c r="J230" s="16"/>
      <c r="K230" s="5"/>
    </row>
    <row r="231" spans="1:11" x14ac:dyDescent="0.25">
      <c r="A231" t="s">
        <v>71</v>
      </c>
      <c r="B231" t="s">
        <v>72</v>
      </c>
      <c r="C231" s="52">
        <v>924</v>
      </c>
      <c r="D231" s="15">
        <v>1004.2715859096081</v>
      </c>
      <c r="E231" s="30"/>
      <c r="F231" s="18"/>
      <c r="G231">
        <v>4</v>
      </c>
      <c r="H231" s="53"/>
      <c r="I231" s="5"/>
      <c r="J231" s="16"/>
      <c r="K231" s="5"/>
    </row>
    <row r="232" spans="1:11" x14ac:dyDescent="0.25">
      <c r="A232" t="s">
        <v>31</v>
      </c>
      <c r="B232" t="s">
        <v>32</v>
      </c>
      <c r="C232" s="52">
        <v>631</v>
      </c>
      <c r="D232" s="15">
        <v>685.84400988948846</v>
      </c>
      <c r="E232" s="30"/>
      <c r="F232" s="18"/>
      <c r="G232">
        <v>1</v>
      </c>
      <c r="H232" s="53"/>
      <c r="I232" s="5"/>
      <c r="J232" s="16"/>
      <c r="K232" s="5"/>
    </row>
    <row r="233" spans="1:11" x14ac:dyDescent="0.25">
      <c r="A233" t="s">
        <v>6</v>
      </c>
      <c r="B233" t="s">
        <v>7</v>
      </c>
      <c r="C233" s="52">
        <v>1803</v>
      </c>
      <c r="D233" s="15">
        <v>1959.5543139699671</v>
      </c>
      <c r="E233" s="30"/>
      <c r="F233" s="18"/>
      <c r="G233">
        <v>6</v>
      </c>
      <c r="H233" s="53"/>
      <c r="I233" s="5"/>
      <c r="J233" s="16"/>
      <c r="K233" s="5"/>
    </row>
    <row r="234" spans="1:11" x14ac:dyDescent="0.25">
      <c r="A234" t="s">
        <v>80</v>
      </c>
      <c r="B234" t="s">
        <v>57</v>
      </c>
      <c r="C234" s="52">
        <v>654</v>
      </c>
      <c r="D234" s="15">
        <v>710.33843881411303</v>
      </c>
      <c r="E234" s="30"/>
      <c r="F234" s="18"/>
      <c r="G234">
        <v>5</v>
      </c>
      <c r="H234" s="53"/>
      <c r="I234" s="5"/>
      <c r="J234" s="16"/>
      <c r="K234" s="5"/>
    </row>
    <row r="235" spans="1:11" x14ac:dyDescent="0.25">
      <c r="A235" t="s">
        <v>56</v>
      </c>
      <c r="B235" t="s">
        <v>57</v>
      </c>
      <c r="C235" s="52">
        <v>3043</v>
      </c>
      <c r="D235" s="15">
        <v>3306.7479048243194</v>
      </c>
      <c r="E235" s="30"/>
      <c r="F235" s="18" t="s">
        <v>118</v>
      </c>
      <c r="G235">
        <v>4</v>
      </c>
      <c r="H235" s="53"/>
      <c r="I235" s="5"/>
      <c r="J235" s="16"/>
      <c r="K235" s="5"/>
    </row>
    <row r="236" spans="1:11" x14ac:dyDescent="0.25">
      <c r="A236" t="s">
        <v>37</v>
      </c>
      <c r="B236" t="s">
        <v>38</v>
      </c>
      <c r="C236" s="52">
        <v>924</v>
      </c>
      <c r="D236" s="15">
        <v>1004.2715859096081</v>
      </c>
      <c r="E236" s="30"/>
      <c r="F236" s="18" t="s">
        <v>118</v>
      </c>
      <c r="G236">
        <v>4</v>
      </c>
      <c r="H236" s="53"/>
      <c r="I236" s="5"/>
      <c r="J236" s="16"/>
      <c r="K236" s="5"/>
    </row>
    <row r="237" spans="1:11" x14ac:dyDescent="0.25">
      <c r="A237" t="s">
        <v>78</v>
      </c>
      <c r="B237" t="s">
        <v>63</v>
      </c>
      <c r="C237" s="52">
        <v>654</v>
      </c>
      <c r="D237" s="15">
        <v>710.33843881411303</v>
      </c>
      <c r="E237" s="30"/>
      <c r="F237" s="18"/>
      <c r="G237">
        <v>5</v>
      </c>
      <c r="H237" s="53"/>
      <c r="I237" s="5"/>
      <c r="J237" s="16"/>
      <c r="K237" s="5"/>
    </row>
    <row r="238" spans="1:11" x14ac:dyDescent="0.25">
      <c r="A238" t="s">
        <v>14</v>
      </c>
      <c r="B238" t="s">
        <v>15</v>
      </c>
      <c r="C238" s="52">
        <v>969</v>
      </c>
      <c r="D238" s="15">
        <v>1053.2604437588573</v>
      </c>
      <c r="E238" s="30"/>
      <c r="F238" s="18" t="s">
        <v>118</v>
      </c>
      <c r="G238">
        <v>3</v>
      </c>
      <c r="H238" s="53"/>
      <c r="I238" s="5"/>
      <c r="J238" s="16"/>
      <c r="K238" s="5"/>
    </row>
    <row r="239" spans="1:11" x14ac:dyDescent="0.25">
      <c r="A239" t="s">
        <v>37</v>
      </c>
      <c r="B239" t="s">
        <v>38</v>
      </c>
      <c r="C239" s="52">
        <v>1555</v>
      </c>
      <c r="D239" s="15">
        <v>1690.1155957990966</v>
      </c>
      <c r="E239" s="30"/>
      <c r="F239" s="18"/>
      <c r="G239">
        <v>4</v>
      </c>
      <c r="H239" s="53"/>
      <c r="I239" s="5"/>
      <c r="J239" s="16"/>
      <c r="K239" s="5"/>
    </row>
    <row r="240" spans="1:11" x14ac:dyDescent="0.25">
      <c r="A240" t="s">
        <v>14</v>
      </c>
      <c r="B240" t="s">
        <v>15</v>
      </c>
      <c r="C240" s="52">
        <v>2750</v>
      </c>
      <c r="D240" s="15">
        <v>2988.3203288042</v>
      </c>
      <c r="E240" s="30"/>
      <c r="F240" s="18"/>
      <c r="G240">
        <v>5</v>
      </c>
      <c r="H240" s="53"/>
      <c r="I240" s="5"/>
      <c r="J240" s="16"/>
      <c r="K240" s="5"/>
    </row>
    <row r="241" spans="1:11" x14ac:dyDescent="0.25">
      <c r="A241" t="s">
        <v>4</v>
      </c>
      <c r="B241" t="s">
        <v>5</v>
      </c>
      <c r="C241" s="52">
        <v>1014</v>
      </c>
      <c r="D241" s="15">
        <v>1102.2493016081064</v>
      </c>
      <c r="E241" s="30"/>
      <c r="F241" s="18"/>
      <c r="G241">
        <v>4</v>
      </c>
      <c r="H241" s="53"/>
      <c r="I241" s="5"/>
      <c r="J241" s="16"/>
      <c r="K241" s="5"/>
    </row>
    <row r="242" spans="1:11" x14ac:dyDescent="0.25">
      <c r="A242" t="s">
        <v>4</v>
      </c>
      <c r="B242" t="s">
        <v>5</v>
      </c>
      <c r="C242" s="52">
        <v>1014</v>
      </c>
      <c r="D242" s="15">
        <v>1102.2493016081064</v>
      </c>
      <c r="E242" s="30"/>
      <c r="F242" s="18"/>
      <c r="G242">
        <v>6</v>
      </c>
      <c r="H242" s="53"/>
      <c r="I242" s="5"/>
      <c r="J242" s="16"/>
      <c r="K242" s="5"/>
    </row>
    <row r="243" spans="1:11" x14ac:dyDescent="0.25">
      <c r="A243" t="s">
        <v>4</v>
      </c>
      <c r="B243" t="s">
        <v>5</v>
      </c>
      <c r="C243" s="52">
        <v>654</v>
      </c>
      <c r="D243" s="15">
        <v>710.33843881411303</v>
      </c>
      <c r="E243" s="30"/>
      <c r="F243" s="18"/>
      <c r="G243">
        <v>5</v>
      </c>
      <c r="H243" s="53"/>
      <c r="I243" s="5"/>
      <c r="J243" s="16"/>
      <c r="K243" s="5"/>
    </row>
    <row r="244" spans="1:11" x14ac:dyDescent="0.25">
      <c r="A244" t="s">
        <v>8</v>
      </c>
      <c r="B244" t="s">
        <v>9</v>
      </c>
      <c r="C244" s="52">
        <v>654</v>
      </c>
      <c r="D244" s="15">
        <v>710.33843881411303</v>
      </c>
      <c r="E244" s="30"/>
      <c r="F244" s="18" t="s">
        <v>118</v>
      </c>
      <c r="G244">
        <v>5</v>
      </c>
      <c r="H244" s="53"/>
      <c r="I244" s="5"/>
      <c r="J244" s="16"/>
      <c r="K244" s="5"/>
    </row>
    <row r="245" spans="1:11" x14ac:dyDescent="0.25">
      <c r="A245" t="s">
        <v>46</v>
      </c>
      <c r="B245" t="s">
        <v>47</v>
      </c>
      <c r="C245" s="52">
        <v>924</v>
      </c>
      <c r="D245" s="15">
        <v>1004.2715859096081</v>
      </c>
      <c r="E245" s="30"/>
      <c r="F245" s="18" t="s">
        <v>118</v>
      </c>
      <c r="G245">
        <v>5</v>
      </c>
      <c r="H245" s="53"/>
      <c r="I245" s="5"/>
      <c r="J245" s="16"/>
      <c r="K245" s="5"/>
    </row>
    <row r="246" spans="1:11" x14ac:dyDescent="0.25">
      <c r="A246" t="s">
        <v>39</v>
      </c>
      <c r="B246" t="s">
        <v>30</v>
      </c>
      <c r="C246" s="52">
        <v>3043</v>
      </c>
      <c r="D246" s="15">
        <v>3306.7479048243194</v>
      </c>
      <c r="E246" s="30"/>
      <c r="F246" s="18" t="s">
        <v>118</v>
      </c>
      <c r="G246">
        <v>3</v>
      </c>
      <c r="H246" s="53"/>
      <c r="I246" s="5"/>
      <c r="J246" s="16"/>
      <c r="K246" s="5"/>
    </row>
    <row r="247" spans="1:11" x14ac:dyDescent="0.25">
      <c r="A247" t="s">
        <v>44</v>
      </c>
      <c r="B247" t="s">
        <v>45</v>
      </c>
      <c r="C247" s="52">
        <v>654</v>
      </c>
      <c r="D247" s="15">
        <v>710.33843881411303</v>
      </c>
      <c r="E247" s="30"/>
      <c r="F247" s="18"/>
      <c r="G247">
        <v>5</v>
      </c>
      <c r="H247" s="53"/>
      <c r="I247" s="5"/>
      <c r="J247" s="16"/>
      <c r="K247" s="5"/>
    </row>
    <row r="248" spans="1:11" x14ac:dyDescent="0.25">
      <c r="A248" t="s">
        <v>29</v>
      </c>
      <c r="B248" t="s">
        <v>30</v>
      </c>
      <c r="C248" s="52">
        <v>924</v>
      </c>
      <c r="D248" s="15">
        <v>1004.2715859096081</v>
      </c>
      <c r="E248" s="30"/>
      <c r="F248" s="18"/>
      <c r="G248">
        <v>5</v>
      </c>
      <c r="H248" s="53"/>
      <c r="I248" s="5"/>
      <c r="J248" s="16"/>
      <c r="K248" s="5"/>
    </row>
    <row r="249" spans="1:11" x14ac:dyDescent="0.25">
      <c r="A249" t="s">
        <v>25</v>
      </c>
      <c r="B249" t="s">
        <v>24</v>
      </c>
      <c r="C249" s="52">
        <v>924</v>
      </c>
      <c r="D249" s="15">
        <v>1004.2715859096081</v>
      </c>
      <c r="E249" s="30"/>
      <c r="F249" s="18" t="s">
        <v>118</v>
      </c>
      <c r="G249">
        <v>2</v>
      </c>
      <c r="H249" s="53"/>
      <c r="I249" s="5"/>
      <c r="J249" s="16"/>
      <c r="K249" s="5"/>
    </row>
    <row r="250" spans="1:11" x14ac:dyDescent="0.25">
      <c r="A250" t="s">
        <v>12</v>
      </c>
      <c r="B250" t="s">
        <v>13</v>
      </c>
      <c r="C250" s="52">
        <v>3043</v>
      </c>
      <c r="D250" s="15">
        <v>3306.7479048243194</v>
      </c>
      <c r="E250" s="30"/>
      <c r="F250" s="18" t="s">
        <v>118</v>
      </c>
      <c r="G250">
        <v>5</v>
      </c>
      <c r="H250" s="53"/>
      <c r="I250" s="5"/>
      <c r="J250" s="16"/>
      <c r="K250" s="5"/>
    </row>
    <row r="251" spans="1:11" x14ac:dyDescent="0.25">
      <c r="A251" t="s">
        <v>12</v>
      </c>
      <c r="B251" t="s">
        <v>30</v>
      </c>
      <c r="C251" s="52">
        <v>4508</v>
      </c>
      <c r="D251" s="15">
        <v>4898.885784924918</v>
      </c>
      <c r="E251" s="30"/>
      <c r="F251" s="18"/>
      <c r="G251">
        <v>1</v>
      </c>
      <c r="H251" s="53"/>
      <c r="I251" s="5"/>
      <c r="J251" s="16"/>
      <c r="K251" s="5"/>
    </row>
    <row r="252" spans="1:11" x14ac:dyDescent="0.25">
      <c r="A252" t="s">
        <v>10</v>
      </c>
      <c r="B252" t="s">
        <v>11</v>
      </c>
      <c r="C252" s="52">
        <v>654</v>
      </c>
      <c r="D252" s="15">
        <v>710.33843881411303</v>
      </c>
      <c r="E252" s="30"/>
      <c r="F252" s="18" t="s">
        <v>118</v>
      </c>
      <c r="G252">
        <v>1</v>
      </c>
      <c r="H252" s="53"/>
      <c r="I252" s="5"/>
      <c r="J252" s="16"/>
      <c r="K252" s="5"/>
    </row>
    <row r="253" spans="1:11" x14ac:dyDescent="0.25">
      <c r="A253" t="s">
        <v>18</v>
      </c>
      <c r="B253" t="s">
        <v>19</v>
      </c>
      <c r="C253" s="52">
        <v>857</v>
      </c>
      <c r="D253" s="15">
        <v>930.78829913573441</v>
      </c>
      <c r="E253" s="30"/>
      <c r="F253" s="18" t="s">
        <v>118</v>
      </c>
      <c r="G253">
        <v>1</v>
      </c>
      <c r="H253" s="53"/>
      <c r="I253" s="5"/>
      <c r="J253" s="16"/>
      <c r="K253" s="5"/>
    </row>
    <row r="254" spans="1:11" x14ac:dyDescent="0.25">
      <c r="A254" t="s">
        <v>54</v>
      </c>
      <c r="B254" t="s">
        <v>55</v>
      </c>
      <c r="C254" s="52">
        <v>924</v>
      </c>
      <c r="D254" s="15">
        <v>1004.2715859096081</v>
      </c>
      <c r="E254" s="30"/>
      <c r="F254" s="18" t="s">
        <v>118</v>
      </c>
      <c r="G254">
        <v>3</v>
      </c>
      <c r="H254" s="53"/>
      <c r="I254" s="5"/>
      <c r="J254" s="16"/>
      <c r="K254" s="5"/>
    </row>
    <row r="255" spans="1:11" x14ac:dyDescent="0.25">
      <c r="A255" t="s">
        <v>26</v>
      </c>
      <c r="B255" t="s">
        <v>9</v>
      </c>
      <c r="C255" s="52">
        <v>654</v>
      </c>
      <c r="D255" s="15">
        <v>710.33843881411303</v>
      </c>
      <c r="E255" s="30"/>
      <c r="F255" s="18"/>
      <c r="G255">
        <v>4</v>
      </c>
      <c r="H255" s="53"/>
      <c r="I255" s="5"/>
      <c r="J255" s="16"/>
      <c r="K255" s="5"/>
    </row>
    <row r="256" spans="1:11" x14ac:dyDescent="0.25">
      <c r="A256" t="s">
        <v>40</v>
      </c>
      <c r="B256" t="s">
        <v>41</v>
      </c>
      <c r="C256" s="52">
        <v>5252</v>
      </c>
      <c r="D256" s="15">
        <v>5707.2019394375293</v>
      </c>
      <c r="E256" s="30"/>
      <c r="F256" s="18"/>
      <c r="G256">
        <v>2</v>
      </c>
      <c r="H256" s="53"/>
      <c r="I256" s="5"/>
      <c r="J256" s="16"/>
      <c r="K256" s="5"/>
    </row>
    <row r="257" spans="1:11" x14ac:dyDescent="0.25">
      <c r="A257" t="s">
        <v>14</v>
      </c>
      <c r="B257" t="s">
        <v>15</v>
      </c>
      <c r="C257" s="52">
        <v>4508</v>
      </c>
      <c r="D257" s="15">
        <v>4898.885784924918</v>
      </c>
      <c r="E257" s="30"/>
      <c r="F257" s="18" t="s">
        <v>118</v>
      </c>
      <c r="G257">
        <v>6</v>
      </c>
      <c r="H257" s="53"/>
      <c r="I257" s="5"/>
      <c r="J257" s="16"/>
      <c r="K257" s="5"/>
    </row>
    <row r="258" spans="1:11" x14ac:dyDescent="0.25">
      <c r="A258" t="s">
        <v>10</v>
      </c>
      <c r="B258" t="s">
        <v>11</v>
      </c>
      <c r="C258" s="52">
        <v>1172</v>
      </c>
      <c r="D258" s="15">
        <v>1273.7103040804786</v>
      </c>
      <c r="E258" s="30"/>
      <c r="F258" s="18" t="s">
        <v>118</v>
      </c>
      <c r="G258">
        <v>6</v>
      </c>
      <c r="H258" s="53"/>
      <c r="I258" s="5"/>
      <c r="J258" s="16"/>
      <c r="K258" s="5"/>
    </row>
    <row r="259" spans="1:11" x14ac:dyDescent="0.25">
      <c r="A259" t="s">
        <v>12</v>
      </c>
      <c r="B259" t="s">
        <v>30</v>
      </c>
      <c r="C259" s="52">
        <v>1578</v>
      </c>
      <c r="D259" s="15">
        <v>1714.6100247237212</v>
      </c>
      <c r="E259" s="30"/>
      <c r="F259" s="18" t="s">
        <v>118</v>
      </c>
      <c r="G259">
        <v>2</v>
      </c>
      <c r="H259" s="53"/>
      <c r="I259" s="5"/>
      <c r="J259" s="16"/>
      <c r="K259" s="5"/>
    </row>
    <row r="260" spans="1:11" x14ac:dyDescent="0.25">
      <c r="A260" t="s">
        <v>22</v>
      </c>
      <c r="B260" t="s">
        <v>23</v>
      </c>
      <c r="C260" s="52">
        <v>766</v>
      </c>
      <c r="D260" s="15">
        <v>832.81058343723601</v>
      </c>
      <c r="E260" s="30"/>
      <c r="F260" s="18"/>
      <c r="G260">
        <v>3</v>
      </c>
      <c r="H260" s="53"/>
      <c r="I260" s="5"/>
      <c r="J260" s="16"/>
      <c r="K260" s="5"/>
    </row>
    <row r="261" spans="1:11" x14ac:dyDescent="0.25">
      <c r="A261" t="s">
        <v>12</v>
      </c>
      <c r="B261" t="s">
        <v>13</v>
      </c>
      <c r="C261" s="52">
        <v>2750</v>
      </c>
      <c r="D261" s="15">
        <v>2988.3203288042</v>
      </c>
      <c r="E261" s="30"/>
      <c r="F261" s="18"/>
      <c r="G261">
        <v>1</v>
      </c>
      <c r="H261" s="53"/>
      <c r="I261" s="5"/>
      <c r="J261" s="16"/>
      <c r="K261" s="5"/>
    </row>
    <row r="262" spans="1:11" x14ac:dyDescent="0.25">
      <c r="A262" t="s">
        <v>25</v>
      </c>
      <c r="B262" t="s">
        <v>24</v>
      </c>
      <c r="C262" s="52">
        <v>3471</v>
      </c>
      <c r="D262" s="15">
        <v>3772.1420543921868</v>
      </c>
      <c r="E262" s="30"/>
      <c r="F262" s="18" t="s">
        <v>118</v>
      </c>
      <c r="G262">
        <v>2</v>
      </c>
      <c r="H262" s="53"/>
      <c r="I262" s="5"/>
      <c r="J262" s="16"/>
      <c r="K262" s="5"/>
    </row>
    <row r="263" spans="1:11" x14ac:dyDescent="0.25">
      <c r="A263" t="s">
        <v>29</v>
      </c>
      <c r="B263" t="s">
        <v>30</v>
      </c>
      <c r="C263" s="52">
        <v>969</v>
      </c>
      <c r="D263" s="15">
        <v>1053.2604437588573</v>
      </c>
      <c r="E263" s="30"/>
      <c r="F263" s="18"/>
      <c r="G263">
        <v>1</v>
      </c>
      <c r="H263" s="53"/>
      <c r="I263" s="5"/>
      <c r="J263" s="16"/>
      <c r="K263" s="5"/>
    </row>
    <row r="264" spans="1:11" x14ac:dyDescent="0.25">
      <c r="A264" t="s">
        <v>33</v>
      </c>
      <c r="B264" t="s">
        <v>34</v>
      </c>
      <c r="C264" s="52">
        <v>857</v>
      </c>
      <c r="D264" s="15">
        <v>930.78829913573441</v>
      </c>
      <c r="E264" s="30"/>
      <c r="F264" s="18"/>
      <c r="G264">
        <v>4</v>
      </c>
      <c r="H264" s="53"/>
      <c r="I264" s="5"/>
      <c r="J264" s="16"/>
      <c r="K264" s="5"/>
    </row>
    <row r="265" spans="1:11" x14ac:dyDescent="0.25">
      <c r="A265" t="s">
        <v>14</v>
      </c>
      <c r="B265" t="s">
        <v>15</v>
      </c>
      <c r="C265" s="52">
        <v>3607</v>
      </c>
      <c r="D265" s="15">
        <v>3919.1086279399342</v>
      </c>
      <c r="E265" s="30"/>
      <c r="F265" s="18" t="s">
        <v>118</v>
      </c>
      <c r="G265">
        <v>5</v>
      </c>
      <c r="H265" s="53"/>
      <c r="I265" s="5"/>
      <c r="J265" s="16"/>
      <c r="K265" s="5"/>
    </row>
    <row r="266" spans="1:11" x14ac:dyDescent="0.25">
      <c r="A266" t="s">
        <v>84</v>
      </c>
      <c r="B266" t="s">
        <v>85</v>
      </c>
      <c r="C266" s="52">
        <v>654</v>
      </c>
      <c r="D266" s="15">
        <v>710.33843881411303</v>
      </c>
      <c r="E266" s="30"/>
      <c r="F266" s="18"/>
      <c r="G266">
        <v>2</v>
      </c>
      <c r="H266" s="53"/>
      <c r="I266" s="5"/>
      <c r="J266" s="16"/>
      <c r="K266" s="5"/>
    </row>
    <row r="267" spans="1:11" x14ac:dyDescent="0.25">
      <c r="A267" t="s">
        <v>46</v>
      </c>
      <c r="B267" t="s">
        <v>47</v>
      </c>
      <c r="C267" s="52">
        <v>969</v>
      </c>
      <c r="D267" s="15">
        <v>1053.2604437588573</v>
      </c>
      <c r="E267" s="30"/>
      <c r="F267" s="18"/>
      <c r="G267">
        <v>3</v>
      </c>
      <c r="H267" s="53"/>
      <c r="I267" s="5"/>
      <c r="J267" s="16"/>
      <c r="K267" s="5"/>
    </row>
    <row r="268" spans="1:11" x14ac:dyDescent="0.25">
      <c r="A268" t="s">
        <v>29</v>
      </c>
      <c r="B268" t="s">
        <v>30</v>
      </c>
      <c r="C268" s="52">
        <v>3607</v>
      </c>
      <c r="D268" s="15">
        <v>3919.1086279399342</v>
      </c>
      <c r="E268" s="30"/>
      <c r="F268" s="18"/>
      <c r="G268">
        <v>2</v>
      </c>
      <c r="H268" s="53"/>
      <c r="I268" s="5"/>
      <c r="J268" s="16"/>
      <c r="K268" s="5"/>
    </row>
    <row r="269" spans="1:11" x14ac:dyDescent="0.25">
      <c r="A269" t="s">
        <v>8</v>
      </c>
      <c r="B269" t="s">
        <v>9</v>
      </c>
      <c r="C269" s="52">
        <v>4508</v>
      </c>
      <c r="D269" s="15">
        <v>4898.885784924918</v>
      </c>
      <c r="E269" s="30"/>
      <c r="F269" s="18" t="s">
        <v>118</v>
      </c>
      <c r="G269">
        <v>5</v>
      </c>
      <c r="H269" s="53"/>
      <c r="I269" s="5"/>
      <c r="J269" s="16"/>
      <c r="K269" s="5"/>
    </row>
    <row r="270" spans="1:11" x14ac:dyDescent="0.25">
      <c r="A270" t="s">
        <v>14</v>
      </c>
      <c r="B270" t="s">
        <v>15</v>
      </c>
      <c r="C270" s="52">
        <v>3043</v>
      </c>
      <c r="D270" s="15">
        <v>3306.7479048243194</v>
      </c>
      <c r="E270" s="30"/>
      <c r="F270" s="18" t="s">
        <v>118</v>
      </c>
      <c r="G270">
        <v>2</v>
      </c>
      <c r="H270" s="53"/>
      <c r="I270" s="5"/>
      <c r="J270" s="16"/>
      <c r="K270" s="5"/>
    </row>
    <row r="271" spans="1:11" x14ac:dyDescent="0.25">
      <c r="A271" t="s">
        <v>6</v>
      </c>
      <c r="B271" t="s">
        <v>7</v>
      </c>
      <c r="C271" s="52">
        <v>969</v>
      </c>
      <c r="D271" s="15">
        <v>1053.2604437588573</v>
      </c>
      <c r="E271" s="30"/>
      <c r="F271" s="18"/>
      <c r="G271">
        <v>3</v>
      </c>
      <c r="H271" s="53"/>
      <c r="I271" s="5"/>
      <c r="J271" s="16"/>
      <c r="K271" s="5"/>
    </row>
    <row r="272" spans="1:11" x14ac:dyDescent="0.25">
      <c r="A272" t="s">
        <v>26</v>
      </c>
      <c r="B272" t="s">
        <v>9</v>
      </c>
      <c r="C272" s="52">
        <v>654</v>
      </c>
      <c r="D272" s="15">
        <v>710.33843881411303</v>
      </c>
      <c r="E272" s="30"/>
      <c r="F272" s="18" t="s">
        <v>118</v>
      </c>
      <c r="G272">
        <v>5</v>
      </c>
      <c r="H272" s="53"/>
      <c r="I272" s="5"/>
      <c r="J272" s="16"/>
      <c r="K272" s="5"/>
    </row>
    <row r="273" spans="1:11" x14ac:dyDescent="0.25">
      <c r="A273" t="s">
        <v>71</v>
      </c>
      <c r="B273" t="s">
        <v>72</v>
      </c>
      <c r="C273" s="52">
        <v>5635</v>
      </c>
      <c r="D273" s="15">
        <v>6123.6072311561475</v>
      </c>
      <c r="E273" s="30"/>
      <c r="F273" s="18" t="s">
        <v>118</v>
      </c>
      <c r="G273">
        <v>5</v>
      </c>
      <c r="H273" s="53"/>
      <c r="I273" s="5"/>
      <c r="J273" s="16"/>
      <c r="K273" s="5"/>
    </row>
    <row r="274" spans="1:11" x14ac:dyDescent="0.25">
      <c r="A274" t="s">
        <v>46</v>
      </c>
      <c r="B274" t="s">
        <v>47</v>
      </c>
      <c r="C274" s="52">
        <v>857</v>
      </c>
      <c r="D274" s="15">
        <v>930.78829913573441</v>
      </c>
      <c r="E274" s="30"/>
      <c r="F274" s="18"/>
      <c r="G274">
        <v>4</v>
      </c>
      <c r="H274" s="53"/>
      <c r="I274" s="5"/>
      <c r="J274" s="16"/>
      <c r="K274" s="5"/>
    </row>
    <row r="275" spans="1:11" x14ac:dyDescent="0.25">
      <c r="A275" t="s">
        <v>10</v>
      </c>
      <c r="B275" t="s">
        <v>11</v>
      </c>
      <c r="C275" s="52">
        <v>654</v>
      </c>
      <c r="D275" s="15">
        <v>710.33843881411303</v>
      </c>
      <c r="E275" s="30"/>
      <c r="F275" s="18" t="s">
        <v>118</v>
      </c>
      <c r="G275">
        <v>6</v>
      </c>
      <c r="H275" s="53"/>
      <c r="I275" s="5"/>
      <c r="J275" s="16"/>
      <c r="K275" s="5"/>
    </row>
    <row r="276" spans="1:11" x14ac:dyDescent="0.25">
      <c r="A276" t="s">
        <v>29</v>
      </c>
      <c r="B276" t="s">
        <v>30</v>
      </c>
      <c r="C276" s="52">
        <v>3607</v>
      </c>
      <c r="D276" s="15">
        <v>3919.1086279399342</v>
      </c>
      <c r="E276" s="30"/>
      <c r="F276" s="18" t="s">
        <v>118</v>
      </c>
      <c r="G276">
        <v>4</v>
      </c>
      <c r="H276" s="53"/>
      <c r="I276" s="5"/>
      <c r="J276" s="16"/>
      <c r="K276" s="5"/>
    </row>
    <row r="277" spans="1:11" x14ac:dyDescent="0.25">
      <c r="A277" t="s">
        <v>39</v>
      </c>
      <c r="B277" t="s">
        <v>30</v>
      </c>
      <c r="C277" s="52">
        <v>924</v>
      </c>
      <c r="D277" s="15">
        <v>1004.2715859096081</v>
      </c>
      <c r="E277" s="30"/>
      <c r="F277" s="18" t="s">
        <v>118</v>
      </c>
      <c r="G277">
        <v>6</v>
      </c>
      <c r="H277" s="53"/>
      <c r="I277" s="5"/>
      <c r="J277" s="16"/>
      <c r="K277" s="5"/>
    </row>
    <row r="278" spans="1:11" x14ac:dyDescent="0.25">
      <c r="A278" t="s">
        <v>10</v>
      </c>
      <c r="B278" t="s">
        <v>11</v>
      </c>
      <c r="C278" s="52">
        <v>947</v>
      </c>
      <c r="D278" s="15">
        <v>1028.7660148342327</v>
      </c>
      <c r="E278" s="30"/>
      <c r="F278" s="18" t="s">
        <v>118</v>
      </c>
      <c r="G278">
        <v>3</v>
      </c>
      <c r="H278" s="53"/>
      <c r="I278" s="5"/>
      <c r="J278" s="16"/>
      <c r="K278" s="5"/>
    </row>
    <row r="279" spans="1:11" x14ac:dyDescent="0.25">
      <c r="A279" t="s">
        <v>82</v>
      </c>
      <c r="B279" t="s">
        <v>83</v>
      </c>
      <c r="C279" s="52">
        <v>3291</v>
      </c>
      <c r="D279" s="15">
        <v>3576.1866229951897</v>
      </c>
      <c r="E279" s="30"/>
      <c r="F279" s="18"/>
      <c r="G279">
        <v>2</v>
      </c>
      <c r="H279" s="53"/>
      <c r="I279" s="5"/>
      <c r="J279" s="16"/>
      <c r="K279" s="5"/>
    </row>
    <row r="280" spans="1:11" x14ac:dyDescent="0.25">
      <c r="A280" t="s">
        <v>50</v>
      </c>
      <c r="B280" t="s">
        <v>51</v>
      </c>
      <c r="C280" s="52">
        <v>857</v>
      </c>
      <c r="D280" s="15">
        <v>930.78829913573441</v>
      </c>
      <c r="E280" s="30"/>
      <c r="F280" s="18"/>
      <c r="G280">
        <v>2</v>
      </c>
      <c r="H280" s="53"/>
      <c r="I280" s="5"/>
      <c r="J280" s="16"/>
      <c r="K280" s="5"/>
    </row>
    <row r="281" spans="1:11" x14ac:dyDescent="0.25">
      <c r="A281" t="s">
        <v>60</v>
      </c>
      <c r="B281" t="s">
        <v>61</v>
      </c>
      <c r="C281" s="52">
        <v>1127</v>
      </c>
      <c r="D281" s="15">
        <v>1224.7214462312295</v>
      </c>
      <c r="E281" s="30"/>
      <c r="F281" s="18" t="s">
        <v>118</v>
      </c>
      <c r="G281">
        <v>3</v>
      </c>
      <c r="H281" s="53"/>
      <c r="I281" s="5"/>
      <c r="J281" s="16"/>
      <c r="K281" s="5"/>
    </row>
    <row r="282" spans="1:11" x14ac:dyDescent="0.25">
      <c r="A282" t="s">
        <v>12</v>
      </c>
      <c r="B282" t="s">
        <v>13</v>
      </c>
      <c r="C282" s="52">
        <v>1398</v>
      </c>
      <c r="D282" s="15">
        <v>1518.6545933267246</v>
      </c>
      <c r="E282" s="30"/>
      <c r="F282" s="18"/>
      <c r="G282">
        <v>2</v>
      </c>
      <c r="H282" s="53"/>
      <c r="I282" s="5"/>
      <c r="J282" s="16"/>
      <c r="K282" s="5"/>
    </row>
    <row r="283" spans="1:11" x14ac:dyDescent="0.25">
      <c r="A283" t="s">
        <v>42</v>
      </c>
      <c r="B283" t="s">
        <v>43</v>
      </c>
      <c r="C283" s="52">
        <v>969</v>
      </c>
      <c r="D283" s="15">
        <v>1053.2604437588573</v>
      </c>
      <c r="E283" s="30"/>
      <c r="F283" s="18"/>
      <c r="G283">
        <v>1</v>
      </c>
      <c r="H283" s="53"/>
      <c r="I283" s="5"/>
      <c r="J283" s="16"/>
      <c r="K283" s="5"/>
    </row>
    <row r="284" spans="1:11" x14ac:dyDescent="0.25">
      <c r="A284" t="s">
        <v>80</v>
      </c>
      <c r="B284" t="s">
        <v>57</v>
      </c>
      <c r="C284" s="52">
        <v>969</v>
      </c>
      <c r="D284" s="15">
        <v>1053.2604437588573</v>
      </c>
      <c r="E284" s="30"/>
      <c r="F284" s="18" t="s">
        <v>118</v>
      </c>
      <c r="G284">
        <v>2</v>
      </c>
      <c r="H284" s="53"/>
      <c r="I284" s="5"/>
      <c r="J284" s="16"/>
      <c r="K284" s="5"/>
    </row>
    <row r="285" spans="1:11" x14ac:dyDescent="0.25">
      <c r="A285" t="s">
        <v>29</v>
      </c>
      <c r="B285" t="s">
        <v>30</v>
      </c>
      <c r="C285" s="52">
        <v>2254</v>
      </c>
      <c r="D285" s="15">
        <v>2449.442892462459</v>
      </c>
      <c r="E285" s="30"/>
      <c r="F285" s="18" t="s">
        <v>118</v>
      </c>
      <c r="G285">
        <v>2</v>
      </c>
      <c r="H285" s="53"/>
      <c r="I285" s="5"/>
      <c r="J285" s="16"/>
      <c r="K285" s="5"/>
    </row>
    <row r="286" spans="1:11" x14ac:dyDescent="0.25">
      <c r="A286" t="s">
        <v>76</v>
      </c>
      <c r="B286" t="s">
        <v>77</v>
      </c>
      <c r="C286" s="52">
        <v>969</v>
      </c>
      <c r="D286" s="15">
        <v>1053.2604437588573</v>
      </c>
      <c r="E286" s="30"/>
      <c r="F286" s="18" t="s">
        <v>118</v>
      </c>
      <c r="G286">
        <v>2</v>
      </c>
      <c r="H286" s="53"/>
      <c r="I286" s="5"/>
      <c r="J286" s="16"/>
      <c r="K286" s="5"/>
    </row>
    <row r="287" spans="1:11" x14ac:dyDescent="0.25">
      <c r="A287" t="s">
        <v>75</v>
      </c>
      <c r="B287" t="s">
        <v>21</v>
      </c>
      <c r="C287" s="52">
        <v>654</v>
      </c>
      <c r="D287" s="15">
        <v>710.33843881411303</v>
      </c>
      <c r="E287" s="30"/>
      <c r="F287" s="18" t="s">
        <v>118</v>
      </c>
      <c r="G287">
        <v>5</v>
      </c>
      <c r="H287" s="53"/>
      <c r="I287" s="5"/>
      <c r="J287" s="16"/>
      <c r="K287" s="5"/>
    </row>
    <row r="288" spans="1:11" x14ac:dyDescent="0.25">
      <c r="A288" t="s">
        <v>12</v>
      </c>
      <c r="B288" t="s">
        <v>86</v>
      </c>
      <c r="C288" s="52">
        <v>3043</v>
      </c>
      <c r="D288" s="15">
        <v>3306.7479048243194</v>
      </c>
      <c r="E288" s="30"/>
      <c r="F288" s="18" t="s">
        <v>118</v>
      </c>
      <c r="G288">
        <v>4</v>
      </c>
      <c r="H288" s="53"/>
      <c r="I288" s="5"/>
      <c r="J288" s="16"/>
      <c r="K288" s="5"/>
    </row>
    <row r="289" spans="1:11" x14ac:dyDescent="0.25">
      <c r="A289" t="s">
        <v>10</v>
      </c>
      <c r="B289" t="s">
        <v>11</v>
      </c>
      <c r="C289" s="52">
        <v>857</v>
      </c>
      <c r="D289" s="15">
        <v>930.78829913573441</v>
      </c>
      <c r="E289" s="30"/>
      <c r="F289" s="18" t="s">
        <v>118</v>
      </c>
      <c r="G289">
        <v>6</v>
      </c>
      <c r="H289" s="53"/>
      <c r="I289" s="5"/>
      <c r="J289" s="16"/>
      <c r="K289" s="5"/>
    </row>
    <row r="290" spans="1:11" x14ac:dyDescent="0.25">
      <c r="A290" t="s">
        <v>52</v>
      </c>
      <c r="B290" t="s">
        <v>53</v>
      </c>
      <c r="C290" s="52">
        <v>654</v>
      </c>
      <c r="D290" s="15">
        <v>710.33843881411303</v>
      </c>
      <c r="E290" s="30"/>
      <c r="F290" s="18" t="s">
        <v>118</v>
      </c>
      <c r="G290">
        <v>6</v>
      </c>
      <c r="H290" s="53"/>
      <c r="I290" s="5"/>
      <c r="J290" s="16"/>
      <c r="K290" s="5"/>
    </row>
    <row r="291" spans="1:11" x14ac:dyDescent="0.25">
      <c r="A291" t="s">
        <v>10</v>
      </c>
      <c r="B291" t="s">
        <v>11</v>
      </c>
      <c r="C291" s="52">
        <v>3607</v>
      </c>
      <c r="D291" s="15">
        <v>3919.1086279399342</v>
      </c>
      <c r="E291" s="30"/>
      <c r="F291" s="18" t="s">
        <v>118</v>
      </c>
      <c r="G291">
        <v>6</v>
      </c>
      <c r="H291" s="53"/>
      <c r="I291" s="5"/>
      <c r="J291" s="16"/>
      <c r="K291" s="5"/>
    </row>
    <row r="292" spans="1:11" x14ac:dyDescent="0.25">
      <c r="A292" t="s">
        <v>6</v>
      </c>
      <c r="B292" t="s">
        <v>7</v>
      </c>
      <c r="C292" s="52">
        <v>1014</v>
      </c>
      <c r="D292" s="15">
        <v>1102.2493016081064</v>
      </c>
      <c r="E292" s="30"/>
      <c r="F292" s="18" t="s">
        <v>118</v>
      </c>
      <c r="G292">
        <v>4</v>
      </c>
      <c r="H292" s="53"/>
      <c r="I292" s="5"/>
      <c r="J292" s="16"/>
      <c r="K292" s="5"/>
    </row>
    <row r="293" spans="1:11" x14ac:dyDescent="0.25">
      <c r="A293" t="s">
        <v>46</v>
      </c>
      <c r="B293" t="s">
        <v>47</v>
      </c>
      <c r="C293" s="52">
        <v>969</v>
      </c>
      <c r="D293" s="15">
        <v>1053.2604437588573</v>
      </c>
      <c r="E293" s="30"/>
      <c r="F293" s="18"/>
      <c r="G293">
        <v>6</v>
      </c>
      <c r="H293" s="53"/>
      <c r="I293" s="5"/>
      <c r="J293" s="16"/>
      <c r="K293" s="5"/>
    </row>
    <row r="294" spans="1:11" x14ac:dyDescent="0.25">
      <c r="A294" t="s">
        <v>33</v>
      </c>
      <c r="B294" t="s">
        <v>34</v>
      </c>
      <c r="C294" s="52">
        <v>924</v>
      </c>
      <c r="D294" s="15">
        <v>1004.2715859096081</v>
      </c>
      <c r="E294" s="30"/>
      <c r="F294" s="18" t="s">
        <v>118</v>
      </c>
      <c r="G294">
        <v>1</v>
      </c>
      <c r="H294" s="53"/>
      <c r="I294" s="5"/>
      <c r="J294" s="16"/>
      <c r="K294" s="5"/>
    </row>
    <row r="295" spans="1:11" x14ac:dyDescent="0.25">
      <c r="A295" t="s">
        <v>8</v>
      </c>
      <c r="B295" t="s">
        <v>9</v>
      </c>
      <c r="C295" s="52">
        <v>924</v>
      </c>
      <c r="D295" s="15">
        <v>1004.2715859096081</v>
      </c>
      <c r="E295" s="30"/>
      <c r="F295" s="18"/>
      <c r="G295">
        <v>5</v>
      </c>
      <c r="H295" s="53"/>
      <c r="I295" s="5"/>
      <c r="J295" s="16"/>
      <c r="K295" s="5"/>
    </row>
    <row r="296" spans="1:11" x14ac:dyDescent="0.25">
      <c r="A296" t="s">
        <v>4</v>
      </c>
      <c r="B296" t="s">
        <v>5</v>
      </c>
      <c r="C296" s="52">
        <v>924</v>
      </c>
      <c r="D296" s="15">
        <v>1004.2715859096081</v>
      </c>
      <c r="E296" s="30"/>
      <c r="F296" s="18" t="s">
        <v>118</v>
      </c>
      <c r="G296">
        <v>2</v>
      </c>
      <c r="H296" s="53"/>
      <c r="I296" s="5"/>
      <c r="J296" s="16"/>
      <c r="K296" s="5"/>
    </row>
    <row r="297" spans="1:11" x14ac:dyDescent="0.25">
      <c r="A297" t="s">
        <v>25</v>
      </c>
      <c r="B297" t="s">
        <v>24</v>
      </c>
      <c r="C297" s="52">
        <v>2006</v>
      </c>
      <c r="D297" s="15">
        <v>2180.0041742915882</v>
      </c>
      <c r="E297" s="30"/>
      <c r="F297" s="18"/>
      <c r="G297">
        <v>5</v>
      </c>
      <c r="H297" s="53"/>
      <c r="I297" s="5"/>
      <c r="J297" s="16"/>
      <c r="K297" s="5"/>
    </row>
    <row r="298" spans="1:11" x14ac:dyDescent="0.25">
      <c r="A298" t="s">
        <v>8</v>
      </c>
      <c r="B298" t="s">
        <v>9</v>
      </c>
      <c r="C298" s="52">
        <v>857</v>
      </c>
      <c r="D298" s="15">
        <v>930.78829913573441</v>
      </c>
      <c r="E298" s="30"/>
      <c r="F298" s="18" t="s">
        <v>118</v>
      </c>
      <c r="G298">
        <v>2</v>
      </c>
      <c r="H298" s="53"/>
      <c r="I298" s="5"/>
      <c r="J298" s="16"/>
      <c r="K298" s="5"/>
    </row>
    <row r="299" spans="1:11" x14ac:dyDescent="0.25">
      <c r="A299" t="s">
        <v>60</v>
      </c>
      <c r="B299" t="s">
        <v>61</v>
      </c>
      <c r="C299" s="52">
        <v>924</v>
      </c>
      <c r="D299" s="15">
        <v>1004.2715859096081</v>
      </c>
      <c r="E299" s="30"/>
      <c r="F299" s="18"/>
      <c r="G299">
        <v>3</v>
      </c>
      <c r="H299" s="53"/>
      <c r="I299" s="5"/>
      <c r="J299" s="16"/>
      <c r="K299" s="5"/>
    </row>
    <row r="300" spans="1:11" x14ac:dyDescent="0.25">
      <c r="A300" t="s">
        <v>82</v>
      </c>
      <c r="B300" t="s">
        <v>83</v>
      </c>
      <c r="C300" s="52">
        <v>2750</v>
      </c>
      <c r="D300" s="15">
        <v>2988.3203288042</v>
      </c>
      <c r="E300" s="30"/>
      <c r="F300" s="18"/>
      <c r="G300">
        <v>3</v>
      </c>
      <c r="H300" s="53"/>
      <c r="I300" s="5"/>
      <c r="J300" s="16"/>
      <c r="K300" s="5"/>
    </row>
    <row r="301" spans="1:11" x14ac:dyDescent="0.25">
      <c r="A301" t="s">
        <v>31</v>
      </c>
      <c r="B301" t="s">
        <v>32</v>
      </c>
      <c r="C301" s="52">
        <v>3471</v>
      </c>
      <c r="D301" s="15">
        <v>3772.1420543921868</v>
      </c>
      <c r="E301" s="30"/>
      <c r="F301" s="18" t="s">
        <v>118</v>
      </c>
      <c r="G301">
        <v>2</v>
      </c>
      <c r="H301" s="53"/>
      <c r="I301" s="5"/>
      <c r="J301" s="16"/>
      <c r="K301" s="5"/>
    </row>
    <row r="302" spans="1:11" x14ac:dyDescent="0.25">
      <c r="A302" t="s">
        <v>12</v>
      </c>
      <c r="B302" t="s">
        <v>13</v>
      </c>
      <c r="C302" s="52">
        <v>924</v>
      </c>
      <c r="D302" s="15">
        <v>1004.2715859096081</v>
      </c>
      <c r="E302" s="30"/>
      <c r="F302" s="18" t="s">
        <v>118</v>
      </c>
      <c r="G302">
        <v>3</v>
      </c>
      <c r="H302" s="53"/>
      <c r="I302" s="5"/>
      <c r="J302" s="16"/>
      <c r="K302" s="5"/>
    </row>
    <row r="303" spans="1:11" x14ac:dyDescent="0.25">
      <c r="A303" t="s">
        <v>6</v>
      </c>
      <c r="B303" t="s">
        <v>7</v>
      </c>
      <c r="C303" s="52">
        <v>857</v>
      </c>
      <c r="D303" s="15">
        <v>930.78829913573441</v>
      </c>
      <c r="E303" s="30"/>
      <c r="F303" s="18" t="s">
        <v>118</v>
      </c>
      <c r="G303">
        <v>1</v>
      </c>
      <c r="H303" s="53"/>
      <c r="I303" s="5"/>
      <c r="J303" s="16"/>
      <c r="K303" s="5"/>
    </row>
    <row r="304" spans="1:11" x14ac:dyDescent="0.25">
      <c r="A304" t="s">
        <v>20</v>
      </c>
      <c r="B304" t="s">
        <v>21</v>
      </c>
      <c r="C304" s="52">
        <v>969</v>
      </c>
      <c r="D304" s="15">
        <v>1053.2604437588573</v>
      </c>
      <c r="E304" s="30"/>
      <c r="F304" s="18"/>
      <c r="G304">
        <v>6</v>
      </c>
      <c r="H304" s="53"/>
      <c r="I304" s="5"/>
      <c r="J304" s="16"/>
      <c r="K304" s="5"/>
    </row>
    <row r="305" spans="1:11" x14ac:dyDescent="0.25">
      <c r="A305" t="s">
        <v>39</v>
      </c>
      <c r="B305" t="s">
        <v>30</v>
      </c>
      <c r="C305" s="52">
        <v>969</v>
      </c>
      <c r="D305" s="15">
        <v>1053.2604437588573</v>
      </c>
      <c r="E305" s="30"/>
      <c r="F305" s="18" t="s">
        <v>118</v>
      </c>
      <c r="G305">
        <v>1</v>
      </c>
      <c r="H305" s="53"/>
      <c r="I305" s="5"/>
      <c r="J305" s="16"/>
      <c r="K305" s="5"/>
    </row>
    <row r="306" spans="1:11" x14ac:dyDescent="0.25">
      <c r="A306" t="s">
        <v>8</v>
      </c>
      <c r="B306" t="s">
        <v>9</v>
      </c>
      <c r="C306" s="52">
        <v>654</v>
      </c>
      <c r="D306" s="15">
        <v>710.33843881411303</v>
      </c>
      <c r="E306" s="30"/>
      <c r="F306" s="18" t="s">
        <v>118</v>
      </c>
      <c r="G306">
        <v>6</v>
      </c>
      <c r="H306" s="53"/>
      <c r="I306" s="5"/>
      <c r="J306" s="16"/>
      <c r="K306" s="5"/>
    </row>
    <row r="307" spans="1:11" x14ac:dyDescent="0.25">
      <c r="A307" t="s">
        <v>56</v>
      </c>
      <c r="B307" t="s">
        <v>57</v>
      </c>
      <c r="C307" s="52">
        <v>1014</v>
      </c>
      <c r="D307" s="15">
        <v>1102.2493016081064</v>
      </c>
      <c r="E307" s="30"/>
      <c r="F307" s="18" t="s">
        <v>118</v>
      </c>
      <c r="G307">
        <v>4</v>
      </c>
      <c r="H307" s="53"/>
      <c r="I307" s="5"/>
      <c r="J307" s="16"/>
      <c r="K307" s="5"/>
    </row>
    <row r="308" spans="1:11" x14ac:dyDescent="0.25">
      <c r="A308" t="s">
        <v>82</v>
      </c>
      <c r="B308" t="s">
        <v>83</v>
      </c>
      <c r="C308" s="52">
        <v>924</v>
      </c>
      <c r="D308" s="15">
        <v>1004.2715859096081</v>
      </c>
      <c r="E308" s="30"/>
      <c r="F308" s="18"/>
      <c r="G308">
        <v>1</v>
      </c>
      <c r="H308" s="53"/>
      <c r="I308" s="5"/>
      <c r="J308" s="16"/>
      <c r="K308" s="5"/>
    </row>
    <row r="309" spans="1:11" x14ac:dyDescent="0.25">
      <c r="A309" t="s">
        <v>12</v>
      </c>
      <c r="B309" t="s">
        <v>24</v>
      </c>
      <c r="C309" s="52">
        <v>2750</v>
      </c>
      <c r="D309" s="15">
        <v>2988.3203288042</v>
      </c>
      <c r="E309" s="30"/>
      <c r="F309" s="18"/>
      <c r="G309">
        <v>6</v>
      </c>
      <c r="H309" s="53"/>
      <c r="I309" s="5"/>
      <c r="J309" s="16"/>
      <c r="K309" s="5"/>
    </row>
    <row r="310" spans="1:11" x14ac:dyDescent="0.25">
      <c r="A310" t="s">
        <v>6</v>
      </c>
      <c r="B310" t="s">
        <v>7</v>
      </c>
      <c r="C310" s="52">
        <v>1736</v>
      </c>
      <c r="D310" s="15">
        <v>1886.0710271960934</v>
      </c>
      <c r="E310" s="30"/>
      <c r="F310" s="18"/>
      <c r="G310">
        <v>3</v>
      </c>
      <c r="H310" s="53"/>
      <c r="I310" s="5"/>
      <c r="J310" s="16"/>
      <c r="K310" s="5"/>
    </row>
    <row r="311" spans="1:11" x14ac:dyDescent="0.25">
      <c r="A311" t="s">
        <v>82</v>
      </c>
      <c r="B311" t="s">
        <v>83</v>
      </c>
      <c r="C311" s="52">
        <v>857</v>
      </c>
      <c r="D311" s="15">
        <v>930.78829913573441</v>
      </c>
      <c r="E311" s="30"/>
      <c r="F311" s="18"/>
      <c r="G311">
        <v>6</v>
      </c>
      <c r="H311" s="53"/>
      <c r="I311" s="5"/>
      <c r="J311" s="16"/>
      <c r="K311" s="5"/>
    </row>
    <row r="312" spans="1:11" x14ac:dyDescent="0.25">
      <c r="A312" t="s">
        <v>62</v>
      </c>
      <c r="B312" t="s">
        <v>63</v>
      </c>
      <c r="C312" s="52">
        <v>1398</v>
      </c>
      <c r="D312" s="15">
        <v>1518.6545933267246</v>
      </c>
      <c r="E312" s="30"/>
      <c r="F312" s="18" t="s">
        <v>118</v>
      </c>
      <c r="G312">
        <v>6</v>
      </c>
      <c r="H312" s="53"/>
      <c r="I312" s="5"/>
      <c r="J312" s="16"/>
      <c r="K312" s="5"/>
    </row>
    <row r="313" spans="1:11" x14ac:dyDescent="0.25">
      <c r="A313" t="s">
        <v>81</v>
      </c>
      <c r="B313" t="s">
        <v>23</v>
      </c>
      <c r="C313" s="52">
        <v>924</v>
      </c>
      <c r="D313" s="15">
        <v>1004.2715859096081</v>
      </c>
      <c r="E313" s="30"/>
      <c r="F313" s="18" t="s">
        <v>118</v>
      </c>
      <c r="G313">
        <v>2</v>
      </c>
      <c r="H313" s="53"/>
      <c r="I313" s="5"/>
      <c r="J313" s="16"/>
      <c r="K313" s="5"/>
    </row>
    <row r="314" spans="1:11" x14ac:dyDescent="0.25">
      <c r="A314" t="s">
        <v>14</v>
      </c>
      <c r="B314" t="s">
        <v>15</v>
      </c>
      <c r="C314" s="52">
        <v>924</v>
      </c>
      <c r="D314" s="15">
        <v>1004.2715859096081</v>
      </c>
      <c r="E314" s="30"/>
      <c r="F314" s="18"/>
      <c r="G314">
        <v>2</v>
      </c>
      <c r="H314" s="53"/>
      <c r="I314" s="5"/>
      <c r="J314" s="16"/>
      <c r="K314" s="5"/>
    </row>
    <row r="315" spans="1:11" x14ac:dyDescent="0.25">
      <c r="A315" t="s">
        <v>64</v>
      </c>
      <c r="B315" t="s">
        <v>65</v>
      </c>
      <c r="C315" s="52">
        <v>2006</v>
      </c>
      <c r="D315" s="15">
        <v>2180.0041742915882</v>
      </c>
      <c r="E315" s="30"/>
      <c r="F315" s="18"/>
      <c r="G315">
        <v>5</v>
      </c>
      <c r="H315" s="53"/>
      <c r="I315" s="5"/>
      <c r="J315" s="16"/>
      <c r="K315" s="5"/>
    </row>
    <row r="316" spans="1:11" x14ac:dyDescent="0.25">
      <c r="A316" t="s">
        <v>58</v>
      </c>
      <c r="B316" t="s">
        <v>59</v>
      </c>
      <c r="C316" s="52">
        <v>1127</v>
      </c>
      <c r="D316" s="15">
        <v>1224.7214462312295</v>
      </c>
      <c r="E316" s="30"/>
      <c r="F316" s="18" t="s">
        <v>118</v>
      </c>
      <c r="G316">
        <v>6</v>
      </c>
      <c r="H316" s="53"/>
      <c r="I316" s="5"/>
      <c r="J316" s="16"/>
      <c r="K316" s="5"/>
    </row>
    <row r="317" spans="1:11" x14ac:dyDescent="0.25">
      <c r="A317" t="s">
        <v>12</v>
      </c>
      <c r="B317" t="s">
        <v>86</v>
      </c>
      <c r="C317" s="52">
        <v>3471</v>
      </c>
      <c r="D317" s="15">
        <v>3772.1420543921868</v>
      </c>
      <c r="E317" s="30"/>
      <c r="F317" s="18" t="s">
        <v>118</v>
      </c>
      <c r="G317">
        <v>3</v>
      </c>
      <c r="H317" s="53"/>
      <c r="I317" s="5"/>
      <c r="J317" s="16"/>
      <c r="K317" s="5"/>
    </row>
    <row r="318" spans="1:11" x14ac:dyDescent="0.25">
      <c r="A318" t="s">
        <v>16</v>
      </c>
      <c r="B318" t="s">
        <v>17</v>
      </c>
      <c r="C318" s="52">
        <v>2006</v>
      </c>
      <c r="D318" s="15">
        <v>2180.0041742915882</v>
      </c>
      <c r="E318" s="30"/>
      <c r="F318" s="18" t="s">
        <v>118</v>
      </c>
      <c r="G318">
        <v>3</v>
      </c>
      <c r="H318" s="53"/>
      <c r="I318" s="5"/>
      <c r="J318" s="16"/>
      <c r="K318" s="5"/>
    </row>
    <row r="319" spans="1:11" x14ac:dyDescent="0.25">
      <c r="A319" t="s">
        <v>14</v>
      </c>
      <c r="B319" t="s">
        <v>15</v>
      </c>
      <c r="C319" s="52">
        <v>766</v>
      </c>
      <c r="D319" s="15">
        <v>832.81058343723601</v>
      </c>
      <c r="E319" s="30"/>
      <c r="F319" s="18"/>
      <c r="G319">
        <v>4</v>
      </c>
      <c r="H319" s="53"/>
      <c r="I319" s="5"/>
      <c r="J319" s="16"/>
      <c r="K319" s="5"/>
    </row>
    <row r="320" spans="1:11" x14ac:dyDescent="0.25">
      <c r="A320" t="s">
        <v>12</v>
      </c>
      <c r="B320" t="s">
        <v>3</v>
      </c>
      <c r="C320" s="52">
        <v>5252</v>
      </c>
      <c r="D320" s="15">
        <v>5707.2019394375293</v>
      </c>
      <c r="E320" s="30"/>
      <c r="F320" s="18"/>
      <c r="G320">
        <v>5</v>
      </c>
      <c r="H320" s="53"/>
      <c r="I320" s="5"/>
      <c r="J320" s="16"/>
      <c r="K320" s="5"/>
    </row>
    <row r="321" spans="1:11" x14ac:dyDescent="0.25">
      <c r="A321" t="s">
        <v>64</v>
      </c>
      <c r="B321" t="s">
        <v>65</v>
      </c>
      <c r="C321" s="52">
        <v>969</v>
      </c>
      <c r="D321" s="15">
        <v>1053.2604437588573</v>
      </c>
      <c r="E321" s="30"/>
      <c r="F321" s="18" t="s">
        <v>118</v>
      </c>
      <c r="G321">
        <v>1</v>
      </c>
      <c r="H321" s="53"/>
      <c r="I321" s="5"/>
      <c r="J321" s="16"/>
      <c r="K321" s="5"/>
    </row>
    <row r="322" spans="1:11" x14ac:dyDescent="0.25">
      <c r="A322" t="s">
        <v>18</v>
      </c>
      <c r="B322" t="s">
        <v>19</v>
      </c>
      <c r="C322" s="52">
        <v>1037</v>
      </c>
      <c r="D322" s="15">
        <v>1126.743730532731</v>
      </c>
      <c r="E322" s="30"/>
      <c r="F322" s="18" t="s">
        <v>118</v>
      </c>
      <c r="G322">
        <v>1</v>
      </c>
      <c r="H322" s="53"/>
      <c r="I322" s="5"/>
      <c r="J322" s="16"/>
      <c r="K322" s="5"/>
    </row>
    <row r="323" spans="1:11" x14ac:dyDescent="0.25">
      <c r="A323" t="s">
        <v>29</v>
      </c>
      <c r="B323" t="s">
        <v>30</v>
      </c>
      <c r="C323" s="52">
        <v>2750</v>
      </c>
      <c r="D323" s="15">
        <v>2988.3203288042</v>
      </c>
      <c r="E323" s="30"/>
      <c r="F323" s="18" t="s">
        <v>118</v>
      </c>
      <c r="G323">
        <v>5</v>
      </c>
      <c r="H323" s="53"/>
      <c r="I323" s="5"/>
      <c r="J323" s="16"/>
      <c r="K323" s="5"/>
    </row>
    <row r="324" spans="1:11" x14ac:dyDescent="0.25">
      <c r="A324" t="s">
        <v>69</v>
      </c>
      <c r="B324" t="s">
        <v>70</v>
      </c>
      <c r="C324" s="52">
        <v>766</v>
      </c>
      <c r="D324" s="15">
        <v>832.81058343723601</v>
      </c>
      <c r="E324" s="30"/>
      <c r="F324" s="18"/>
      <c r="G324">
        <v>1</v>
      </c>
      <c r="H324" s="53"/>
      <c r="I324" s="5"/>
      <c r="J324" s="16"/>
      <c r="K324" s="5"/>
    </row>
    <row r="325" spans="1:11" x14ac:dyDescent="0.25">
      <c r="A325" t="s">
        <v>12</v>
      </c>
      <c r="B325" t="s">
        <v>13</v>
      </c>
      <c r="C325" s="52">
        <v>924</v>
      </c>
      <c r="D325" s="15">
        <v>1004.2715859096081</v>
      </c>
      <c r="E325" s="30"/>
      <c r="F325" s="18"/>
      <c r="G325">
        <v>1</v>
      </c>
      <c r="H325" s="53"/>
      <c r="I325" s="5"/>
      <c r="J325" s="16"/>
      <c r="K325" s="5"/>
    </row>
    <row r="326" spans="1:11" x14ac:dyDescent="0.25">
      <c r="A326" t="s">
        <v>76</v>
      </c>
      <c r="B326" t="s">
        <v>77</v>
      </c>
      <c r="C326" s="52">
        <v>1736</v>
      </c>
      <c r="D326" s="15">
        <v>1886.0710271960934</v>
      </c>
      <c r="E326" s="30"/>
      <c r="F326" s="18" t="s">
        <v>118</v>
      </c>
      <c r="G326">
        <v>2</v>
      </c>
      <c r="H326" s="53"/>
      <c r="I326" s="5"/>
      <c r="J326" s="16"/>
      <c r="K326" s="5"/>
    </row>
    <row r="327" spans="1:11" x14ac:dyDescent="0.25">
      <c r="A327" t="s">
        <v>73</v>
      </c>
      <c r="B327" t="s">
        <v>74</v>
      </c>
      <c r="C327" s="52">
        <v>1736</v>
      </c>
      <c r="D327" s="15">
        <v>1886.0710271960934</v>
      </c>
      <c r="E327" s="30"/>
      <c r="F327" s="18"/>
      <c r="G327">
        <v>2</v>
      </c>
      <c r="H327" s="53"/>
      <c r="I327" s="5"/>
      <c r="J327" s="16"/>
      <c r="K327" s="5"/>
    </row>
    <row r="328" spans="1:11" x14ac:dyDescent="0.25">
      <c r="A328" t="s">
        <v>10</v>
      </c>
      <c r="B328" t="s">
        <v>11</v>
      </c>
      <c r="C328" s="52">
        <v>3607</v>
      </c>
      <c r="D328" s="15">
        <v>3919.1086279399342</v>
      </c>
      <c r="E328" s="30"/>
      <c r="F328" s="18" t="s">
        <v>118</v>
      </c>
      <c r="G328">
        <v>4</v>
      </c>
      <c r="H328" s="53"/>
      <c r="I328" s="5"/>
      <c r="J328" s="16"/>
      <c r="K328" s="5"/>
    </row>
    <row r="329" spans="1:11" x14ac:dyDescent="0.25">
      <c r="A329" t="s">
        <v>12</v>
      </c>
      <c r="B329" t="s">
        <v>13</v>
      </c>
      <c r="C329" s="52">
        <v>3291</v>
      </c>
      <c r="D329" s="15">
        <v>3576.1866229951897</v>
      </c>
      <c r="E329" s="30"/>
      <c r="F329" s="18"/>
      <c r="G329">
        <v>1</v>
      </c>
      <c r="H329" s="53"/>
      <c r="I329" s="5"/>
      <c r="J329" s="16"/>
      <c r="K329" s="5"/>
    </row>
    <row r="330" spans="1:11" x14ac:dyDescent="0.25">
      <c r="A330" t="s">
        <v>12</v>
      </c>
      <c r="B330" t="s">
        <v>24</v>
      </c>
      <c r="C330" s="52">
        <v>654</v>
      </c>
      <c r="D330" s="15">
        <v>710.33843881411303</v>
      </c>
      <c r="E330" s="30"/>
      <c r="F330" s="18"/>
      <c r="G330">
        <v>6</v>
      </c>
      <c r="H330" s="53"/>
      <c r="I330" s="5"/>
      <c r="J330" s="16"/>
      <c r="K330" s="5"/>
    </row>
    <row r="331" spans="1:11" x14ac:dyDescent="0.25">
      <c r="A331" t="s">
        <v>31</v>
      </c>
      <c r="B331" t="s">
        <v>32</v>
      </c>
      <c r="C331" s="52">
        <v>3471</v>
      </c>
      <c r="D331" s="15">
        <v>3772.1420543921868</v>
      </c>
      <c r="E331" s="30"/>
      <c r="F331" s="18"/>
      <c r="G331">
        <v>6</v>
      </c>
      <c r="H331" s="53"/>
      <c r="I331" s="5"/>
      <c r="J331" s="16"/>
      <c r="K331" s="5"/>
    </row>
    <row r="332" spans="1:11" x14ac:dyDescent="0.25">
      <c r="A332" t="s">
        <v>29</v>
      </c>
      <c r="B332" t="s">
        <v>30</v>
      </c>
      <c r="C332" s="52">
        <v>3607</v>
      </c>
      <c r="D332" s="15">
        <v>3919.1086279399342</v>
      </c>
      <c r="E332" s="30"/>
      <c r="F332" s="18" t="s">
        <v>118</v>
      </c>
      <c r="G332">
        <v>2</v>
      </c>
      <c r="H332" s="53"/>
      <c r="I332" s="5"/>
      <c r="J332" s="16"/>
      <c r="K332" s="5"/>
    </row>
    <row r="333" spans="1:11" x14ac:dyDescent="0.25">
      <c r="A333" t="s">
        <v>14</v>
      </c>
      <c r="B333" t="s">
        <v>15</v>
      </c>
      <c r="C333" s="52">
        <v>1014</v>
      </c>
      <c r="D333" s="15">
        <v>1102.2493016081064</v>
      </c>
      <c r="E333" s="30"/>
      <c r="F333" s="18" t="s">
        <v>118</v>
      </c>
      <c r="G333">
        <v>3</v>
      </c>
      <c r="H333" s="53"/>
      <c r="I333" s="5"/>
      <c r="J333" s="16"/>
      <c r="K333" s="5"/>
    </row>
    <row r="334" spans="1:11" x14ac:dyDescent="0.25">
      <c r="A334" t="s">
        <v>12</v>
      </c>
      <c r="B334" t="s">
        <v>24</v>
      </c>
      <c r="C334" s="52">
        <v>766</v>
      </c>
      <c r="D334" s="15">
        <v>832.81058343723601</v>
      </c>
      <c r="E334" s="30"/>
      <c r="F334" s="18"/>
      <c r="G334">
        <v>6</v>
      </c>
      <c r="H334" s="53"/>
      <c r="I334" s="5"/>
      <c r="J334" s="16"/>
      <c r="K334" s="5"/>
    </row>
    <row r="335" spans="1:11" x14ac:dyDescent="0.25">
      <c r="A335" t="s">
        <v>69</v>
      </c>
      <c r="B335" t="s">
        <v>70</v>
      </c>
      <c r="C335" s="52">
        <v>766</v>
      </c>
      <c r="D335" s="15">
        <v>832.81058343723601</v>
      </c>
      <c r="E335" s="30"/>
      <c r="F335" s="18"/>
      <c r="G335">
        <v>3</v>
      </c>
      <c r="H335" s="53"/>
      <c r="I335" s="5"/>
      <c r="J335" s="16"/>
      <c r="K335" s="5"/>
    </row>
    <row r="336" spans="1:11" x14ac:dyDescent="0.25">
      <c r="A336" t="s">
        <v>44</v>
      </c>
      <c r="B336" t="s">
        <v>45</v>
      </c>
      <c r="C336" s="52">
        <v>1014</v>
      </c>
      <c r="D336" s="15">
        <v>1102.2493016081064</v>
      </c>
      <c r="E336" s="30"/>
      <c r="F336" s="18" t="s">
        <v>118</v>
      </c>
      <c r="G336">
        <v>2</v>
      </c>
      <c r="H336" s="53"/>
      <c r="I336" s="5"/>
      <c r="J336" s="16"/>
      <c r="K336" s="5"/>
    </row>
    <row r="337" spans="1:11" x14ac:dyDescent="0.25">
      <c r="A337" t="s">
        <v>4</v>
      </c>
      <c r="B337" t="s">
        <v>5</v>
      </c>
      <c r="C337" s="52">
        <v>654</v>
      </c>
      <c r="D337" s="15">
        <v>710.33843881411303</v>
      </c>
      <c r="E337" s="30"/>
      <c r="F337" s="18" t="s">
        <v>118</v>
      </c>
      <c r="G337">
        <v>5</v>
      </c>
      <c r="H337" s="53"/>
      <c r="I337" s="5"/>
      <c r="J337" s="16"/>
      <c r="K337" s="5"/>
    </row>
    <row r="338" spans="1:11" x14ac:dyDescent="0.25">
      <c r="A338" t="s">
        <v>44</v>
      </c>
      <c r="B338" t="s">
        <v>45</v>
      </c>
      <c r="C338" s="52">
        <v>654</v>
      </c>
      <c r="D338" s="15">
        <v>710.33843881411303</v>
      </c>
      <c r="E338" s="30"/>
      <c r="F338" s="18"/>
      <c r="G338">
        <v>4</v>
      </c>
      <c r="H338" s="53"/>
      <c r="I338" s="5"/>
      <c r="J338" s="16"/>
      <c r="K338" s="5"/>
    </row>
    <row r="339" spans="1:11" x14ac:dyDescent="0.25">
      <c r="A339" t="s">
        <v>12</v>
      </c>
      <c r="B339" t="s">
        <v>86</v>
      </c>
      <c r="C339" s="52">
        <v>654</v>
      </c>
      <c r="D339" s="15">
        <v>710.33843881411303</v>
      </c>
      <c r="E339" s="30"/>
      <c r="F339" s="18"/>
      <c r="G339">
        <v>1</v>
      </c>
      <c r="H339" s="53"/>
      <c r="I339" s="5"/>
      <c r="J339" s="16"/>
      <c r="K339" s="5"/>
    </row>
    <row r="340" spans="1:11" x14ac:dyDescent="0.25">
      <c r="A340" t="s">
        <v>29</v>
      </c>
      <c r="B340" t="s">
        <v>30</v>
      </c>
      <c r="C340" s="52">
        <v>947</v>
      </c>
      <c r="D340" s="15">
        <v>1028.7660148342327</v>
      </c>
      <c r="E340" s="30"/>
      <c r="F340" s="18" t="s">
        <v>118</v>
      </c>
      <c r="G340">
        <v>2</v>
      </c>
      <c r="H340" s="53"/>
      <c r="I340" s="5"/>
      <c r="J340" s="16"/>
      <c r="K340" s="5"/>
    </row>
    <row r="341" spans="1:11" x14ac:dyDescent="0.25">
      <c r="A341" t="s">
        <v>6</v>
      </c>
      <c r="B341" t="s">
        <v>7</v>
      </c>
      <c r="C341" s="52">
        <v>3471</v>
      </c>
      <c r="D341" s="15">
        <v>3772.1420543921868</v>
      </c>
      <c r="E341" s="30"/>
      <c r="F341" s="18" t="s">
        <v>118</v>
      </c>
      <c r="G341">
        <v>3</v>
      </c>
      <c r="H341" s="53"/>
      <c r="I341" s="5"/>
      <c r="J341" s="16"/>
      <c r="K341" s="5"/>
    </row>
    <row r="342" spans="1:11" x14ac:dyDescent="0.25">
      <c r="A342" t="s">
        <v>69</v>
      </c>
      <c r="B342" t="s">
        <v>70</v>
      </c>
      <c r="C342" s="52">
        <v>969</v>
      </c>
      <c r="D342" s="15">
        <v>1053.2604437588573</v>
      </c>
      <c r="E342" s="30"/>
      <c r="F342" s="18" t="s">
        <v>118</v>
      </c>
      <c r="G342">
        <v>4</v>
      </c>
      <c r="H342" s="53"/>
      <c r="I342" s="5"/>
      <c r="J342" s="16"/>
      <c r="K342" s="5"/>
    </row>
    <row r="343" spans="1:11" x14ac:dyDescent="0.25">
      <c r="A343" t="s">
        <v>29</v>
      </c>
      <c r="B343" t="s">
        <v>9</v>
      </c>
      <c r="C343" s="52">
        <v>654</v>
      </c>
      <c r="D343" s="15">
        <v>710.33843881411303</v>
      </c>
      <c r="E343" s="30"/>
      <c r="F343" s="18"/>
      <c r="G343">
        <v>5</v>
      </c>
      <c r="H343" s="53"/>
      <c r="I343" s="5"/>
      <c r="J343" s="16"/>
      <c r="K343" s="5"/>
    </row>
    <row r="344" spans="1:11" x14ac:dyDescent="0.25">
      <c r="A344" t="s">
        <v>14</v>
      </c>
      <c r="B344" t="s">
        <v>15</v>
      </c>
      <c r="C344" s="52">
        <v>5635</v>
      </c>
      <c r="D344" s="15">
        <v>6123.6072311561475</v>
      </c>
      <c r="E344" s="30"/>
      <c r="F344" s="18"/>
      <c r="G344">
        <v>2</v>
      </c>
      <c r="H344" s="53"/>
      <c r="I344" s="5"/>
      <c r="J344" s="16"/>
      <c r="K344" s="5"/>
    </row>
    <row r="345" spans="1:11" x14ac:dyDescent="0.25">
      <c r="A345" t="s">
        <v>54</v>
      </c>
      <c r="B345" t="s">
        <v>55</v>
      </c>
      <c r="C345" s="52">
        <v>3043</v>
      </c>
      <c r="D345" s="15">
        <v>3306.7479048243194</v>
      </c>
      <c r="E345" s="30"/>
      <c r="F345" s="18"/>
      <c r="G345">
        <v>5</v>
      </c>
      <c r="H345" s="53"/>
      <c r="I345" s="5"/>
      <c r="J345" s="16"/>
      <c r="K345" s="5"/>
    </row>
    <row r="346" spans="1:11" x14ac:dyDescent="0.25">
      <c r="A346" t="s">
        <v>60</v>
      </c>
      <c r="B346" t="s">
        <v>61</v>
      </c>
      <c r="C346" s="52">
        <v>5252</v>
      </c>
      <c r="D346" s="15">
        <v>5707.2019394375293</v>
      </c>
      <c r="E346" s="30"/>
      <c r="F346" s="18"/>
      <c r="G346">
        <v>3</v>
      </c>
      <c r="H346" s="53"/>
      <c r="I346" s="5"/>
      <c r="J346" s="16"/>
      <c r="K346" s="5"/>
    </row>
    <row r="347" spans="1:11" x14ac:dyDescent="0.25">
      <c r="A347" t="s">
        <v>12</v>
      </c>
      <c r="B347" t="s">
        <v>13</v>
      </c>
      <c r="C347" s="52">
        <v>924</v>
      </c>
      <c r="D347" s="15">
        <v>1004.2715859096081</v>
      </c>
      <c r="E347" s="30"/>
      <c r="F347" s="18" t="s">
        <v>118</v>
      </c>
      <c r="G347">
        <v>2</v>
      </c>
      <c r="H347" s="53"/>
      <c r="I347" s="5"/>
      <c r="J347" s="16"/>
      <c r="K347" s="5"/>
    </row>
    <row r="348" spans="1:11" x14ac:dyDescent="0.25">
      <c r="A348" t="s">
        <v>75</v>
      </c>
      <c r="B348" t="s">
        <v>21</v>
      </c>
      <c r="C348" s="52">
        <v>857</v>
      </c>
      <c r="D348" s="15">
        <v>930.78829913573441</v>
      </c>
      <c r="E348" s="30"/>
      <c r="F348" s="18"/>
      <c r="G348">
        <v>3</v>
      </c>
      <c r="H348" s="53"/>
      <c r="I348" s="5"/>
      <c r="J348" s="16"/>
      <c r="K348" s="5"/>
    </row>
    <row r="349" spans="1:11" x14ac:dyDescent="0.25">
      <c r="A349" t="s">
        <v>67</v>
      </c>
      <c r="B349" t="s">
        <v>68</v>
      </c>
      <c r="C349" s="52">
        <v>857</v>
      </c>
      <c r="D349" s="15">
        <v>930.78829913573441</v>
      </c>
      <c r="E349" s="30"/>
      <c r="F349" s="18" t="s">
        <v>118</v>
      </c>
      <c r="G349">
        <v>4</v>
      </c>
      <c r="H349" s="53"/>
      <c r="I349" s="5"/>
      <c r="J349" s="16"/>
      <c r="K349" s="5"/>
    </row>
    <row r="350" spans="1:11" x14ac:dyDescent="0.25">
      <c r="A350" t="s">
        <v>50</v>
      </c>
      <c r="B350" t="s">
        <v>51</v>
      </c>
      <c r="C350" s="52">
        <v>654</v>
      </c>
      <c r="D350" s="15">
        <v>710.33843881411303</v>
      </c>
      <c r="E350" s="30"/>
      <c r="F350" s="18" t="s">
        <v>118</v>
      </c>
      <c r="G350">
        <v>1</v>
      </c>
      <c r="H350" s="53"/>
      <c r="I350" s="5"/>
      <c r="J350" s="16"/>
      <c r="K350" s="5"/>
    </row>
    <row r="351" spans="1:11" x14ac:dyDescent="0.25">
      <c r="A351" t="s">
        <v>29</v>
      </c>
      <c r="B351" t="s">
        <v>9</v>
      </c>
      <c r="C351" s="52">
        <v>654</v>
      </c>
      <c r="D351" s="15">
        <v>710.33843881411303</v>
      </c>
      <c r="E351" s="30"/>
      <c r="F351" s="18"/>
      <c r="G351">
        <v>6</v>
      </c>
      <c r="H351" s="53"/>
      <c r="I351" s="5"/>
      <c r="J351" s="16"/>
      <c r="K351" s="5"/>
    </row>
    <row r="352" spans="1:11" x14ac:dyDescent="0.25">
      <c r="A352" t="s">
        <v>66</v>
      </c>
      <c r="B352" t="s">
        <v>13</v>
      </c>
      <c r="C352" s="52">
        <v>1014</v>
      </c>
      <c r="D352" s="15">
        <v>1102.2493016081064</v>
      </c>
      <c r="E352" s="30"/>
      <c r="F352" s="18" t="s">
        <v>118</v>
      </c>
      <c r="G352">
        <v>3</v>
      </c>
      <c r="H352" s="53"/>
      <c r="I352" s="5"/>
      <c r="J352" s="16"/>
      <c r="K352" s="5"/>
    </row>
    <row r="353" spans="1:11" x14ac:dyDescent="0.25">
      <c r="A353" t="s">
        <v>31</v>
      </c>
      <c r="B353" t="s">
        <v>32</v>
      </c>
      <c r="C353" s="52">
        <v>857</v>
      </c>
      <c r="D353" s="15">
        <v>930.78829913573441</v>
      </c>
      <c r="E353" s="30"/>
      <c r="F353" s="18" t="s">
        <v>118</v>
      </c>
      <c r="G353">
        <v>2</v>
      </c>
      <c r="H353" s="53"/>
      <c r="I353" s="5"/>
      <c r="J353" s="16"/>
      <c r="K353" s="5"/>
    </row>
    <row r="354" spans="1:11" x14ac:dyDescent="0.25">
      <c r="A354" t="s">
        <v>78</v>
      </c>
      <c r="B354" t="s">
        <v>63</v>
      </c>
      <c r="C354" s="52">
        <v>2750</v>
      </c>
      <c r="D354" s="15">
        <v>2988.3203288042</v>
      </c>
      <c r="E354" s="30"/>
      <c r="F354" s="18" t="s">
        <v>118</v>
      </c>
      <c r="G354">
        <v>5</v>
      </c>
      <c r="H354" s="53"/>
      <c r="I354" s="5"/>
      <c r="J354" s="16"/>
      <c r="K354" s="5"/>
    </row>
    <row r="355" spans="1:11" x14ac:dyDescent="0.25">
      <c r="A355" t="s">
        <v>16</v>
      </c>
      <c r="B355" t="s">
        <v>17</v>
      </c>
      <c r="C355" s="52">
        <v>1398</v>
      </c>
      <c r="D355" s="15">
        <v>1518.6545933267246</v>
      </c>
      <c r="E355" s="30"/>
      <c r="F355" s="18" t="s">
        <v>118</v>
      </c>
      <c r="G355">
        <v>1</v>
      </c>
      <c r="H355" s="53"/>
      <c r="I355" s="5"/>
      <c r="J355" s="16"/>
      <c r="K355" s="5"/>
    </row>
    <row r="356" spans="1:11" x14ac:dyDescent="0.25">
      <c r="A356" t="s">
        <v>20</v>
      </c>
      <c r="B356" t="s">
        <v>21</v>
      </c>
      <c r="C356" s="52">
        <v>6312</v>
      </c>
      <c r="D356" s="15">
        <v>6858.4400988948846</v>
      </c>
      <c r="E356" s="30"/>
      <c r="F356" s="18" t="s">
        <v>118</v>
      </c>
      <c r="G356">
        <v>2</v>
      </c>
      <c r="H356" s="53"/>
      <c r="I356" s="5"/>
      <c r="J356" s="16"/>
      <c r="K356" s="5"/>
    </row>
    <row r="357" spans="1:11" x14ac:dyDescent="0.25">
      <c r="A357" t="s">
        <v>12</v>
      </c>
      <c r="B357" t="s">
        <v>24</v>
      </c>
      <c r="C357" s="52">
        <v>1398</v>
      </c>
      <c r="D357" s="15">
        <v>1518.6545933267246</v>
      </c>
      <c r="E357" s="30"/>
      <c r="F357" s="18" t="s">
        <v>118</v>
      </c>
      <c r="G357">
        <v>2</v>
      </c>
      <c r="H357" s="53"/>
      <c r="I357" s="5"/>
      <c r="J357" s="16"/>
      <c r="K357" s="5"/>
    </row>
    <row r="358" spans="1:11" x14ac:dyDescent="0.25">
      <c r="A358" t="s">
        <v>80</v>
      </c>
      <c r="B358" t="s">
        <v>57</v>
      </c>
      <c r="C358" s="52">
        <v>969</v>
      </c>
      <c r="D358" s="15">
        <v>1053.2604437588573</v>
      </c>
      <c r="E358" s="30"/>
      <c r="F358" s="18" t="s">
        <v>118</v>
      </c>
      <c r="G358">
        <v>1</v>
      </c>
      <c r="H358" s="53"/>
      <c r="I358" s="5"/>
      <c r="J358" s="16"/>
      <c r="K358" s="5"/>
    </row>
    <row r="359" spans="1:11" x14ac:dyDescent="0.25">
      <c r="A359" t="s">
        <v>42</v>
      </c>
      <c r="B359" t="s">
        <v>43</v>
      </c>
      <c r="C359" s="52">
        <v>654</v>
      </c>
      <c r="D359" s="15">
        <v>710.33843881411303</v>
      </c>
      <c r="E359" s="30"/>
      <c r="F359" s="18" t="s">
        <v>118</v>
      </c>
      <c r="G359">
        <v>6</v>
      </c>
      <c r="H359" s="53"/>
      <c r="I359" s="5"/>
      <c r="J359" s="16"/>
      <c r="K359" s="5"/>
    </row>
    <row r="360" spans="1:11" x14ac:dyDescent="0.25">
      <c r="A360" t="s">
        <v>18</v>
      </c>
      <c r="B360" t="s">
        <v>19</v>
      </c>
      <c r="C360" s="52">
        <v>3043</v>
      </c>
      <c r="D360" s="15">
        <v>3306.7479048243194</v>
      </c>
      <c r="E360" s="30"/>
      <c r="F360" s="18" t="s">
        <v>118</v>
      </c>
      <c r="G360">
        <v>2</v>
      </c>
      <c r="H360" s="53"/>
      <c r="I360" s="5"/>
      <c r="J360" s="16"/>
      <c r="K360" s="5"/>
    </row>
    <row r="361" spans="1:11" x14ac:dyDescent="0.25">
      <c r="A361" t="s">
        <v>40</v>
      </c>
      <c r="B361" t="s">
        <v>41</v>
      </c>
      <c r="C361" s="52">
        <v>924</v>
      </c>
      <c r="D361" s="15">
        <v>1004.2715859096081</v>
      </c>
      <c r="E361" s="30"/>
      <c r="F361" s="18"/>
      <c r="G361">
        <v>2</v>
      </c>
      <c r="H361" s="53"/>
      <c r="I361" s="5"/>
      <c r="J361" s="16"/>
      <c r="K361" s="5"/>
    </row>
    <row r="362" spans="1:11" x14ac:dyDescent="0.25">
      <c r="A362" t="s">
        <v>64</v>
      </c>
      <c r="B362" t="s">
        <v>65</v>
      </c>
      <c r="C362" s="52">
        <v>1037</v>
      </c>
      <c r="D362" s="15">
        <v>1126.743730532731</v>
      </c>
      <c r="E362" s="30"/>
      <c r="F362" s="18"/>
      <c r="G362">
        <v>2</v>
      </c>
      <c r="H362" s="53"/>
      <c r="I362" s="5"/>
      <c r="J362" s="16"/>
      <c r="K362" s="5"/>
    </row>
    <row r="363" spans="1:11" x14ac:dyDescent="0.25">
      <c r="A363" t="s">
        <v>54</v>
      </c>
      <c r="B363" t="s">
        <v>55</v>
      </c>
      <c r="C363" s="52">
        <v>2750</v>
      </c>
      <c r="D363" s="15">
        <v>2988.3203288042</v>
      </c>
      <c r="E363" s="30"/>
      <c r="F363" s="18" t="s">
        <v>118</v>
      </c>
      <c r="G363">
        <v>5</v>
      </c>
      <c r="H363" s="53"/>
      <c r="I363" s="5"/>
      <c r="J363" s="16"/>
      <c r="K363" s="5"/>
    </row>
    <row r="364" spans="1:11" x14ac:dyDescent="0.25">
      <c r="A364" t="s">
        <v>37</v>
      </c>
      <c r="B364" t="s">
        <v>38</v>
      </c>
      <c r="C364" s="52">
        <v>924</v>
      </c>
      <c r="D364" s="15">
        <v>1004.2715859096081</v>
      </c>
      <c r="E364" s="30"/>
      <c r="F364" s="18"/>
      <c r="G364">
        <v>6</v>
      </c>
      <c r="H364" s="53"/>
      <c r="I364" s="5"/>
      <c r="J364" s="16"/>
      <c r="K364" s="5"/>
    </row>
    <row r="365" spans="1:11" x14ac:dyDescent="0.25">
      <c r="A365" t="s">
        <v>6</v>
      </c>
      <c r="B365" t="s">
        <v>7</v>
      </c>
      <c r="C365" s="52">
        <v>924</v>
      </c>
      <c r="D365" s="15">
        <v>1004.2715859096081</v>
      </c>
      <c r="E365" s="30"/>
      <c r="F365" s="18" t="s">
        <v>118</v>
      </c>
      <c r="G365">
        <v>4</v>
      </c>
      <c r="H365" s="53"/>
      <c r="I365" s="5"/>
      <c r="J365" s="16"/>
      <c r="K365" s="5"/>
    </row>
    <row r="366" spans="1:11" x14ac:dyDescent="0.25">
      <c r="A366" t="s">
        <v>56</v>
      </c>
      <c r="B366" t="s">
        <v>57</v>
      </c>
      <c r="C366" s="52">
        <v>3043</v>
      </c>
      <c r="D366" s="15">
        <v>3306.7479048243194</v>
      </c>
      <c r="E366" s="30"/>
      <c r="F366" s="18" t="s">
        <v>118</v>
      </c>
      <c r="G366">
        <v>3</v>
      </c>
      <c r="H366" s="53"/>
      <c r="I366" s="5"/>
      <c r="J366" s="16"/>
      <c r="K366" s="5"/>
    </row>
    <row r="367" spans="1:11" x14ac:dyDescent="0.25">
      <c r="A367" t="s">
        <v>75</v>
      </c>
      <c r="B367" t="s">
        <v>21</v>
      </c>
      <c r="C367" s="52">
        <v>3291</v>
      </c>
      <c r="D367" s="15">
        <v>3576.1866229951897</v>
      </c>
      <c r="E367" s="30"/>
      <c r="F367" s="18"/>
      <c r="G367">
        <v>3</v>
      </c>
      <c r="H367" s="53"/>
      <c r="I367" s="5"/>
      <c r="J367" s="16"/>
      <c r="K367" s="5"/>
    </row>
    <row r="368" spans="1:11" x14ac:dyDescent="0.25">
      <c r="A368" t="s">
        <v>80</v>
      </c>
      <c r="B368" t="s">
        <v>57</v>
      </c>
      <c r="C368" s="52">
        <v>654</v>
      </c>
      <c r="D368" s="15">
        <v>710.33843881411303</v>
      </c>
      <c r="E368" s="30"/>
      <c r="F368" s="18"/>
      <c r="G368">
        <v>5</v>
      </c>
      <c r="H368" s="53"/>
      <c r="I368" s="5"/>
      <c r="J368" s="16"/>
      <c r="K368" s="5"/>
    </row>
    <row r="369" spans="1:11" x14ac:dyDescent="0.25">
      <c r="A369" t="s">
        <v>39</v>
      </c>
      <c r="B369" t="s">
        <v>30</v>
      </c>
      <c r="C369" s="52">
        <v>969</v>
      </c>
      <c r="D369" s="15">
        <v>1053.2604437588573</v>
      </c>
      <c r="E369" s="30"/>
      <c r="F369" s="18"/>
      <c r="G369">
        <v>2</v>
      </c>
      <c r="H369" s="53"/>
      <c r="I369" s="5"/>
      <c r="J369" s="16"/>
      <c r="K369" s="5"/>
    </row>
    <row r="370" spans="1:11" x14ac:dyDescent="0.25">
      <c r="A370" t="s">
        <v>58</v>
      </c>
      <c r="B370" t="s">
        <v>59</v>
      </c>
      <c r="C370" s="52">
        <v>857</v>
      </c>
      <c r="D370" s="15">
        <v>930.78829913573441</v>
      </c>
      <c r="E370" s="30"/>
      <c r="F370" s="18" t="s">
        <v>118</v>
      </c>
      <c r="G370">
        <v>5</v>
      </c>
      <c r="H370" s="53"/>
      <c r="I370" s="5"/>
      <c r="J370" s="16"/>
      <c r="K370" s="5"/>
    </row>
    <row r="371" spans="1:11" x14ac:dyDescent="0.25">
      <c r="A371" t="s">
        <v>12</v>
      </c>
      <c r="B371" t="s">
        <v>86</v>
      </c>
      <c r="C371" s="52">
        <v>947</v>
      </c>
      <c r="D371" s="15">
        <v>1028.7660148342327</v>
      </c>
      <c r="E371" s="30"/>
      <c r="F371" s="18" t="s">
        <v>118</v>
      </c>
      <c r="G371">
        <v>1</v>
      </c>
      <c r="H371" s="53"/>
      <c r="I371" s="5"/>
      <c r="J371" s="16"/>
      <c r="K371" s="5"/>
    </row>
    <row r="372" spans="1:11" x14ac:dyDescent="0.25">
      <c r="A372" t="s">
        <v>20</v>
      </c>
      <c r="B372" t="s">
        <v>21</v>
      </c>
      <c r="C372" s="52">
        <v>1736</v>
      </c>
      <c r="D372" s="15">
        <v>1886.0710271960934</v>
      </c>
      <c r="E372" s="30"/>
      <c r="F372" s="18" t="s">
        <v>118</v>
      </c>
      <c r="G372">
        <v>1</v>
      </c>
      <c r="H372" s="53"/>
      <c r="I372" s="5"/>
      <c r="J372" s="16"/>
      <c r="K372" s="5"/>
    </row>
    <row r="373" spans="1:11" x14ac:dyDescent="0.25">
      <c r="A373" t="s">
        <v>75</v>
      </c>
      <c r="B373" t="s">
        <v>21</v>
      </c>
      <c r="C373" s="52">
        <v>2750</v>
      </c>
      <c r="D373" s="15">
        <v>2988.3203288042</v>
      </c>
      <c r="E373" s="30"/>
      <c r="F373" s="18" t="s">
        <v>118</v>
      </c>
      <c r="G373">
        <v>1</v>
      </c>
      <c r="H373" s="53"/>
      <c r="I373" s="5"/>
      <c r="J373" s="16"/>
      <c r="K373" s="5"/>
    </row>
    <row r="374" spans="1:11" x14ac:dyDescent="0.25">
      <c r="A374" t="s">
        <v>4</v>
      </c>
      <c r="B374" t="s">
        <v>5</v>
      </c>
      <c r="C374" s="52">
        <v>1398</v>
      </c>
      <c r="D374" s="15">
        <v>1518.6545933267246</v>
      </c>
      <c r="E374" s="30"/>
      <c r="F374" s="18" t="s">
        <v>118</v>
      </c>
      <c r="G374">
        <v>6</v>
      </c>
      <c r="H374" s="53"/>
      <c r="I374" s="5"/>
      <c r="J374" s="16"/>
      <c r="K374" s="5"/>
    </row>
    <row r="375" spans="1:11" x14ac:dyDescent="0.25">
      <c r="A375" t="s">
        <v>4</v>
      </c>
      <c r="B375" t="s">
        <v>5</v>
      </c>
      <c r="C375" s="52">
        <v>857</v>
      </c>
      <c r="D375" s="15">
        <v>930.78829913573441</v>
      </c>
      <c r="E375" s="30"/>
      <c r="F375" s="18" t="s">
        <v>118</v>
      </c>
      <c r="G375">
        <v>3</v>
      </c>
      <c r="H375" s="53"/>
      <c r="I375" s="5"/>
      <c r="J375" s="16"/>
      <c r="K375" s="5"/>
    </row>
    <row r="376" spans="1:11" x14ac:dyDescent="0.25">
      <c r="A376" t="s">
        <v>33</v>
      </c>
      <c r="B376" t="s">
        <v>34</v>
      </c>
      <c r="C376" s="52">
        <v>1014</v>
      </c>
      <c r="D376" s="15">
        <v>1102.2493016081064</v>
      </c>
      <c r="E376" s="30"/>
      <c r="F376" s="18"/>
      <c r="G376">
        <v>5</v>
      </c>
      <c r="H376" s="53"/>
      <c r="I376" s="5"/>
      <c r="J376" s="16"/>
      <c r="K376" s="5"/>
    </row>
    <row r="377" spans="1:11" x14ac:dyDescent="0.25">
      <c r="A377" t="s">
        <v>26</v>
      </c>
      <c r="B377" t="s">
        <v>9</v>
      </c>
      <c r="C377" s="52">
        <v>924</v>
      </c>
      <c r="D377" s="15">
        <v>1004.2715859096081</v>
      </c>
      <c r="E377" s="30"/>
      <c r="F377" s="18"/>
      <c r="G377">
        <v>5</v>
      </c>
      <c r="H377" s="53"/>
      <c r="I377" s="5"/>
      <c r="J377" s="16"/>
      <c r="K377" s="5"/>
    </row>
    <row r="378" spans="1:11" x14ac:dyDescent="0.25">
      <c r="A378" t="s">
        <v>12</v>
      </c>
      <c r="B378" t="s">
        <v>13</v>
      </c>
      <c r="C378" s="52">
        <v>2750</v>
      </c>
      <c r="D378" s="15">
        <v>2988.3203288042</v>
      </c>
      <c r="E378" s="30"/>
      <c r="F378" s="18" t="s">
        <v>118</v>
      </c>
      <c r="G378">
        <v>1</v>
      </c>
      <c r="H378" s="53"/>
      <c r="I378" s="5"/>
      <c r="J378" s="16"/>
      <c r="K378" s="5"/>
    </row>
    <row r="379" spans="1:11" x14ac:dyDescent="0.25">
      <c r="A379" t="s">
        <v>12</v>
      </c>
      <c r="B379" t="s">
        <v>13</v>
      </c>
      <c r="C379" s="52">
        <v>654</v>
      </c>
      <c r="D379" s="15">
        <v>710.33843881411303</v>
      </c>
      <c r="E379" s="30"/>
      <c r="F379" s="18"/>
      <c r="G379">
        <v>4</v>
      </c>
      <c r="H379" s="53"/>
      <c r="I379" s="5"/>
      <c r="J379" s="16"/>
      <c r="K379" s="5"/>
    </row>
    <row r="380" spans="1:11" x14ac:dyDescent="0.25">
      <c r="A380" t="s">
        <v>54</v>
      </c>
      <c r="B380" t="s">
        <v>55</v>
      </c>
      <c r="C380" s="52">
        <v>5635</v>
      </c>
      <c r="D380" s="15">
        <v>6123.6072311561475</v>
      </c>
      <c r="E380" s="30"/>
      <c r="F380" s="18"/>
      <c r="G380">
        <v>4</v>
      </c>
      <c r="H380" s="53"/>
      <c r="I380" s="5"/>
      <c r="J380" s="16"/>
      <c r="K380" s="5"/>
    </row>
    <row r="381" spans="1:11" x14ac:dyDescent="0.25">
      <c r="A381" t="s">
        <v>12</v>
      </c>
      <c r="B381" t="s">
        <v>24</v>
      </c>
      <c r="C381" s="52">
        <v>1037</v>
      </c>
      <c r="D381" s="15">
        <v>1126.743730532731</v>
      </c>
      <c r="E381" s="30"/>
      <c r="F381" s="18"/>
      <c r="G381">
        <v>2</v>
      </c>
      <c r="H381" s="53"/>
      <c r="I381" s="5"/>
      <c r="J381" s="16"/>
      <c r="K381" s="5"/>
    </row>
    <row r="382" spans="1:11" x14ac:dyDescent="0.25">
      <c r="A382" t="s">
        <v>8</v>
      </c>
      <c r="B382" t="s">
        <v>9</v>
      </c>
      <c r="C382" s="52">
        <v>857</v>
      </c>
      <c r="D382" s="15">
        <v>930.78829913573441</v>
      </c>
      <c r="E382" s="30"/>
      <c r="F382" s="18"/>
      <c r="G382">
        <v>5</v>
      </c>
      <c r="H382" s="53"/>
      <c r="I382" s="5"/>
      <c r="J382" s="16"/>
      <c r="K382" s="5"/>
    </row>
    <row r="383" spans="1:11" x14ac:dyDescent="0.25">
      <c r="A383" t="s">
        <v>54</v>
      </c>
      <c r="B383" t="s">
        <v>55</v>
      </c>
      <c r="C383" s="52">
        <v>2750</v>
      </c>
      <c r="D383" s="15">
        <v>2988.3203288042</v>
      </c>
      <c r="E383" s="30"/>
      <c r="F383" s="18"/>
      <c r="G383">
        <v>6</v>
      </c>
      <c r="H383" s="53"/>
      <c r="I383" s="5"/>
      <c r="J383" s="16"/>
      <c r="K383" s="5"/>
    </row>
    <row r="384" spans="1:11" x14ac:dyDescent="0.25">
      <c r="A384" t="s">
        <v>79</v>
      </c>
      <c r="B384" t="s">
        <v>47</v>
      </c>
      <c r="C384" s="52">
        <v>1555</v>
      </c>
      <c r="D384" s="15">
        <v>1690.1155957990966</v>
      </c>
      <c r="E384" s="30"/>
      <c r="F384" s="18"/>
      <c r="G384">
        <v>1</v>
      </c>
      <c r="H384" s="53"/>
      <c r="I384" s="5"/>
      <c r="J384" s="16"/>
      <c r="K384" s="5"/>
    </row>
    <row r="385" spans="1:11" x14ac:dyDescent="0.25">
      <c r="A385" t="s">
        <v>62</v>
      </c>
      <c r="B385" t="s">
        <v>63</v>
      </c>
      <c r="C385" s="52">
        <v>2750</v>
      </c>
      <c r="D385" s="15">
        <v>2988.3203288042</v>
      </c>
      <c r="E385" s="30"/>
      <c r="F385" s="18" t="s">
        <v>118</v>
      </c>
      <c r="G385">
        <v>1</v>
      </c>
      <c r="H385" s="53"/>
      <c r="I385" s="5"/>
      <c r="J385" s="16"/>
      <c r="K385" s="5"/>
    </row>
    <row r="386" spans="1:11" x14ac:dyDescent="0.25">
      <c r="A386" t="s">
        <v>10</v>
      </c>
      <c r="B386" t="s">
        <v>11</v>
      </c>
      <c r="C386" s="52">
        <v>857</v>
      </c>
      <c r="D386" s="15">
        <v>930.78829913573441</v>
      </c>
      <c r="E386" s="30"/>
      <c r="F386" s="18" t="s">
        <v>118</v>
      </c>
      <c r="G386">
        <v>2</v>
      </c>
      <c r="H386" s="53"/>
      <c r="I386" s="5"/>
      <c r="J386" s="16"/>
      <c r="K386" s="5"/>
    </row>
    <row r="387" spans="1:11" x14ac:dyDescent="0.25">
      <c r="A387" t="s">
        <v>18</v>
      </c>
      <c r="B387" t="s">
        <v>19</v>
      </c>
      <c r="C387" s="52">
        <v>857</v>
      </c>
      <c r="D387" s="15">
        <v>930.78829913573441</v>
      </c>
      <c r="E387" s="30"/>
      <c r="F387" s="18"/>
      <c r="G387">
        <v>2</v>
      </c>
      <c r="H387" s="53"/>
      <c r="I387" s="5"/>
      <c r="J387" s="16"/>
      <c r="K387" s="5"/>
    </row>
    <row r="388" spans="1:11" x14ac:dyDescent="0.25">
      <c r="A388" t="s">
        <v>54</v>
      </c>
      <c r="B388" t="s">
        <v>55</v>
      </c>
      <c r="C388" s="52">
        <v>4508</v>
      </c>
      <c r="D388" s="15">
        <v>4898.885784924918</v>
      </c>
      <c r="E388" s="30"/>
      <c r="F388" s="18"/>
      <c r="G388">
        <v>2</v>
      </c>
      <c r="H388" s="53"/>
      <c r="I388" s="5"/>
      <c r="J388" s="16"/>
      <c r="K388" s="5"/>
    </row>
    <row r="389" spans="1:11" x14ac:dyDescent="0.25">
      <c r="D389" s="15"/>
      <c r="E389" s="15"/>
      <c r="F389" s="19"/>
      <c r="G389" s="15"/>
      <c r="H389" s="15"/>
      <c r="I389" s="15"/>
      <c r="J389" s="15"/>
    </row>
    <row r="390" spans="1:11" x14ac:dyDescent="0.25">
      <c r="I39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Zestawienie 1</vt:lpstr>
      <vt:lpstr>Zestawienie 2</vt:lpstr>
      <vt:lpstr>Zestawienie 3</vt:lpstr>
      <vt:lpstr>Zestawienie 4</vt:lpstr>
    </vt:vector>
  </TitlesOfParts>
  <Company>Wyższa Szkoła Bankowa w Poznaniu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Seroczyńska</dc:creator>
  <cp:lastModifiedBy>Lidia Seroczyńska</cp:lastModifiedBy>
  <dcterms:created xsi:type="dcterms:W3CDTF">2020-03-31T16:48:43Z</dcterms:created>
  <dcterms:modified xsi:type="dcterms:W3CDTF">2022-09-21T20:27:37Z</dcterms:modified>
</cp:coreProperties>
</file>